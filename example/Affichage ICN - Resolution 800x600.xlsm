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80" yWindow="1905" windowWidth="10770" windowHeight="1515" tabRatio="952" activeTab="8"/>
  </bookViews>
  <sheets>
    <sheet name="PresBACH" sheetId="22" r:id="rId1"/>
    <sheet name="Presentation" sheetId="9" r:id="rId2"/>
    <sheet name="ICNClass" sheetId="20" r:id="rId3"/>
    <sheet name="Scores" sheetId="6" r:id="rId4"/>
    <sheet name="Terrain 1" sheetId="16" r:id="rId5"/>
    <sheet name="ScoresDetail" sheetId="13" r:id="rId6"/>
    <sheet name="Terrain 2" sheetId="15" r:id="rId7"/>
    <sheet name="Visuel" sheetId="14" r:id="rId8"/>
    <sheet name="A renseigner" sheetId="17" r:id="rId9"/>
    <sheet name="Réservé" sheetId="2" r:id="rId10"/>
    <sheet name="JA" sheetId="18" r:id="rId11"/>
    <sheet name="JA2" sheetId="19" r:id="rId12"/>
    <sheet name="Résultats" sheetId="21" r:id="rId13"/>
  </sheets>
  <definedNames>
    <definedName name="_xlnm._FilterDatabase" localSheetId="12" hidden="1">Résultats!$B$1:$K$661</definedName>
    <definedName name="Joueurs" localSheetId="10">JA!$J$3:$J$26</definedName>
    <definedName name="Joueurs" localSheetId="11">'JA2'!#REF!</definedName>
    <definedName name="NomSH1DM1" localSheetId="10">CONCATENATE(IF(ISNA(JA!$P$18),"",JA!$P$18),IF(ISNA(JA!$P$19),"",JA!$P$19))</definedName>
    <definedName name="NomSH1DM1" localSheetId="11">CONCATENATE(IF(ISNA('JA2'!#REF!),"",'JA2'!#REF!),IF(ISNA('JA2'!#REF!),"",'JA2'!#REF!))</definedName>
  </definedNames>
  <calcPr calcId="145621"/>
</workbook>
</file>

<file path=xl/calcChain.xml><?xml version="1.0" encoding="utf-8"?>
<calcChain xmlns="http://schemas.openxmlformats.org/spreadsheetml/2006/main">
  <c r="L199" i="21" l="1"/>
  <c r="K199" i="21"/>
  <c r="L197" i="21"/>
  <c r="K197" i="21"/>
  <c r="L143" i="21"/>
  <c r="K143" i="21"/>
  <c r="L130" i="21"/>
  <c r="K130" i="21"/>
  <c r="L78" i="21"/>
  <c r="K78" i="21"/>
  <c r="L77" i="21"/>
  <c r="K77" i="21"/>
  <c r="L185" i="21"/>
  <c r="K185" i="21"/>
  <c r="L169" i="21"/>
  <c r="K169" i="21"/>
  <c r="L141" i="21"/>
  <c r="K141" i="21"/>
  <c r="L129" i="21"/>
  <c r="K129" i="21"/>
  <c r="L120" i="21"/>
  <c r="K120" i="21"/>
  <c r="L83" i="21"/>
  <c r="K83" i="21"/>
  <c r="E10" i="20" l="1" a="1"/>
  <c r="L11" i="21"/>
  <c r="K11" i="21"/>
  <c r="L39" i="21"/>
  <c r="K39" i="21"/>
  <c r="L37" i="21"/>
  <c r="K37" i="21"/>
  <c r="L9" i="21"/>
  <c r="K9" i="21"/>
  <c r="L65" i="21" l="1"/>
  <c r="K65" i="21"/>
  <c r="L66" i="21"/>
  <c r="K66" i="21"/>
  <c r="N22" i="2" l="1"/>
  <c r="A11" i="20" l="1"/>
  <c r="A12" i="20" l="1"/>
  <c r="A13" i="20" s="1"/>
  <c r="A14" i="20" s="1"/>
  <c r="A15" i="20" s="1"/>
  <c r="A16" i="20" s="1"/>
  <c r="A17" i="20" s="1"/>
  <c r="A18" i="20" s="1"/>
  <c r="A19" i="20" s="1"/>
  <c r="O19" i="18" l="1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18" i="18"/>
  <c r="O17" i="18"/>
  <c r="O16" i="18"/>
  <c r="O15" i="18"/>
  <c r="O14" i="18"/>
  <c r="O13" i="18"/>
  <c r="O12" i="18"/>
  <c r="O11" i="18"/>
  <c r="O10" i="18"/>
  <c r="O9" i="18"/>
  <c r="O8" i="18"/>
  <c r="O7" i="18"/>
  <c r="O6" i="18"/>
  <c r="O5" i="18"/>
  <c r="O4" i="18"/>
  <c r="O3" i="18"/>
  <c r="O2" i="18"/>
  <c r="J39" i="2"/>
  <c r="S17" i="18" l="1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N5" i="2"/>
  <c r="I5" i="2"/>
  <c r="H5" i="2"/>
  <c r="G5" i="2"/>
  <c r="F5" i="2"/>
  <c r="E5" i="2"/>
  <c r="D5" i="2"/>
  <c r="C5" i="2"/>
  <c r="B5" i="2"/>
  <c r="A5" i="2"/>
  <c r="A14" i="22"/>
  <c r="B10" i="20"/>
  <c r="A31" i="22"/>
  <c r="N2" i="21" a="1"/>
  <c r="E10" i="20" l="1"/>
  <c r="N2" i="21"/>
  <c r="O2" i="21" s="1"/>
  <c r="N8" i="2"/>
  <c r="G23" i="2"/>
  <c r="B9" i="2"/>
  <c r="C6" i="14"/>
  <c r="B6" i="14"/>
  <c r="D21" i="2"/>
  <c r="C17" i="2"/>
  <c r="C7" i="2"/>
  <c r="B23" i="2"/>
  <c r="G14" i="2"/>
  <c r="H25" i="2"/>
  <c r="G7" i="2"/>
  <c r="D24" i="2"/>
  <c r="F8" i="2"/>
  <c r="F19" i="2"/>
  <c r="E8" i="2"/>
  <c r="I21" i="2"/>
  <c r="N3" i="21" a="1"/>
  <c r="B24" i="2"/>
  <c r="G18" i="2"/>
  <c r="G6" i="2"/>
  <c r="C1" i="13"/>
  <c r="C13" i="2"/>
  <c r="G8" i="16"/>
  <c r="H23" i="2"/>
  <c r="G21" i="2"/>
  <c r="F18" i="20"/>
  <c r="D23" i="2"/>
  <c r="F22" i="2"/>
  <c r="H40" i="2"/>
  <c r="H37" i="2"/>
  <c r="G13" i="2"/>
  <c r="H18" i="2"/>
  <c r="B22" i="2"/>
  <c r="B19" i="20"/>
  <c r="C39" i="2"/>
  <c r="I18" i="2"/>
  <c r="C22" i="2"/>
  <c r="B19" i="2"/>
  <c r="D19" i="2"/>
  <c r="B38" i="2"/>
  <c r="F15" i="20"/>
  <c r="D22" i="2"/>
  <c r="H9" i="2"/>
  <c r="B7" i="2"/>
  <c r="B6" i="2"/>
  <c r="H38" i="2"/>
  <c r="I23" i="2"/>
  <c r="F17" i="2"/>
  <c r="H20" i="2"/>
  <c r="B13" i="20"/>
  <c r="E7" i="2"/>
  <c r="F14" i="20"/>
  <c r="B37" i="2"/>
  <c r="G8" i="2"/>
  <c r="F11" i="20"/>
  <c r="F16" i="20"/>
  <c r="G25" i="2"/>
  <c r="F25" i="2"/>
  <c r="D17" i="2"/>
  <c r="I37" i="2"/>
  <c r="E24" i="2"/>
  <c r="B13" i="2"/>
  <c r="H24" i="2"/>
  <c r="I38" i="2"/>
  <c r="D7" i="2"/>
  <c r="F24" i="2"/>
  <c r="B17" i="2"/>
  <c r="D25" i="2"/>
  <c r="F20" i="2"/>
  <c r="E39" i="2"/>
  <c r="D1" i="13"/>
  <c r="I8" i="2"/>
  <c r="N17" i="2"/>
  <c r="F37" i="2"/>
  <c r="D39" i="2"/>
  <c r="I9" i="2"/>
  <c r="G37" i="2"/>
  <c r="B14" i="20"/>
  <c r="G26" i="2"/>
  <c r="F21" i="2"/>
  <c r="F38" i="2"/>
  <c r="A14" i="9"/>
  <c r="E17" i="2"/>
  <c r="I26" i="2"/>
  <c r="I7" i="2"/>
  <c r="B25" i="2"/>
  <c r="I19" i="2"/>
  <c r="C24" i="2"/>
  <c r="F10" i="20"/>
  <c r="I40" i="2"/>
  <c r="F19" i="20"/>
  <c r="I24" i="2"/>
  <c r="N13" i="2"/>
  <c r="D3" i="16"/>
  <c r="C37" i="2"/>
  <c r="G38" i="2"/>
  <c r="B14" i="2"/>
  <c r="I20" i="2"/>
  <c r="E40" i="2"/>
  <c r="H13" i="2"/>
  <c r="F12" i="2"/>
  <c r="C3" i="15"/>
  <c r="C19" i="2"/>
  <c r="I10" i="2"/>
  <c r="H8" i="2"/>
  <c r="C26" i="2"/>
  <c r="B26" i="2"/>
  <c r="F7" i="2"/>
  <c r="G20" i="2"/>
  <c r="B12" i="20"/>
  <c r="C14" i="2"/>
  <c r="H10" i="2"/>
  <c r="E11" i="2"/>
  <c r="F26" i="2"/>
  <c r="G39" i="2"/>
  <c r="D38" i="2"/>
  <c r="D3" i="15"/>
  <c r="B8" i="2"/>
  <c r="E21" i="2"/>
  <c r="F12" i="20"/>
  <c r="F23" i="2"/>
  <c r="B40" i="2"/>
  <c r="N11" i="2"/>
  <c r="H26" i="2"/>
  <c r="I12" i="2"/>
  <c r="E9" i="2"/>
  <c r="C38" i="2"/>
  <c r="H6" i="2"/>
  <c r="C9" i="2"/>
  <c r="B21" i="2"/>
  <c r="D26" i="2"/>
  <c r="I14" i="2"/>
  <c r="C3" i="16"/>
  <c r="I39" i="2"/>
  <c r="G40" i="2"/>
  <c r="F1" i="14"/>
  <c r="H12" i="2"/>
  <c r="I25" i="2"/>
  <c r="C23" i="2"/>
  <c r="H22" i="2"/>
  <c r="F8" i="15"/>
  <c r="D40" i="2"/>
  <c r="G11" i="2"/>
  <c r="H19" i="2"/>
  <c r="H17" i="2"/>
  <c r="B15" i="20"/>
  <c r="H14" i="2"/>
  <c r="E37" i="2"/>
  <c r="H7" i="2"/>
  <c r="F9" i="2"/>
  <c r="B18" i="20"/>
  <c r="G22" i="2"/>
  <c r="E26" i="2"/>
  <c r="H39" i="2"/>
  <c r="D8" i="2"/>
  <c r="F18" i="2"/>
  <c r="C8" i="2"/>
  <c r="F10" i="2"/>
  <c r="I11" i="2"/>
  <c r="I6" i="2"/>
  <c r="E19" i="2"/>
  <c r="I17" i="2"/>
  <c r="A1" i="14"/>
  <c r="G19" i="2"/>
  <c r="D37" i="2"/>
  <c r="B39" i="2"/>
  <c r="I22" i="2"/>
  <c r="B17" i="20"/>
  <c r="E38" i="2"/>
  <c r="F8" i="16"/>
  <c r="D13" i="2"/>
  <c r="D9" i="2"/>
  <c r="E25" i="2"/>
  <c r="B11" i="2"/>
  <c r="F17" i="20"/>
  <c r="F13" i="2"/>
  <c r="F40" i="2"/>
  <c r="C11" i="2"/>
  <c r="C6" i="2"/>
  <c r="B11" i="20"/>
  <c r="C21" i="2"/>
  <c r="E23" i="2"/>
  <c r="G10" i="2"/>
  <c r="F11" i="2"/>
  <c r="D14" i="2"/>
  <c r="A10" i="6"/>
  <c r="G12" i="2"/>
  <c r="H21" i="2"/>
  <c r="D6" i="2"/>
  <c r="G8" i="15"/>
  <c r="G17" i="2"/>
  <c r="E6" i="2"/>
  <c r="E14" i="2"/>
  <c r="F39" i="2"/>
  <c r="E13" i="2"/>
  <c r="I13" i="2"/>
  <c r="F6" i="2"/>
  <c r="B16" i="20"/>
  <c r="H11" i="2"/>
  <c r="A1" i="6"/>
  <c r="N19" i="2"/>
  <c r="A31" i="9"/>
  <c r="G24" i="2"/>
  <c r="F13" i="20"/>
  <c r="G6" i="14"/>
  <c r="N15" i="2"/>
  <c r="C25" i="2"/>
  <c r="F14" i="2"/>
  <c r="C40" i="2"/>
  <c r="G9" i="2"/>
  <c r="H6" i="14"/>
  <c r="D11" i="2"/>
  <c r="E22" i="2"/>
  <c r="C10" i="20" a="1"/>
  <c r="F31" i="2" l="1"/>
  <c r="J16" i="18"/>
  <c r="F1" i="2"/>
  <c r="F2" i="2"/>
  <c r="D36" i="2"/>
  <c r="G35" i="2"/>
  <c r="E15" i="2"/>
  <c r="B31" i="2"/>
  <c r="H35" i="2"/>
  <c r="C31" i="2"/>
  <c r="J15" i="18"/>
  <c r="G41" i="2"/>
  <c r="F34" i="2"/>
  <c r="I11" i="20" a="1"/>
  <c r="I11" i="20" s="1"/>
  <c r="I12" i="16" a="1"/>
  <c r="I12" i="16" s="1"/>
  <c r="I9" i="16" a="1"/>
  <c r="I9" i="16" s="1"/>
  <c r="I13" i="16" a="1"/>
  <c r="I13" i="16" s="1"/>
  <c r="I11" i="16" a="1"/>
  <c r="I11" i="16" s="1"/>
  <c r="I10" i="16" a="1"/>
  <c r="I10" i="16" s="1"/>
  <c r="B42" i="2"/>
  <c r="J4" i="18"/>
  <c r="E14" i="20" a="1"/>
  <c r="E14" i="20" s="1"/>
  <c r="H32" i="2"/>
  <c r="C32" i="2"/>
  <c r="J18" i="18"/>
  <c r="I14" i="20" a="1"/>
  <c r="I14" i="20" s="1"/>
  <c r="I34" i="2"/>
  <c r="N3" i="21"/>
  <c r="O3" i="21" s="1"/>
  <c r="J9" i="18"/>
  <c r="E41" i="2"/>
  <c r="H36" i="2"/>
  <c r="H41" i="2"/>
  <c r="J19" i="18"/>
  <c r="D41" i="2"/>
  <c r="J7" i="18"/>
  <c r="F42" i="2"/>
  <c r="J13" i="18"/>
  <c r="D42" i="2"/>
  <c r="J8" i="18"/>
  <c r="I12" i="20" a="1"/>
  <c r="I12" i="20" s="1"/>
  <c r="E36" i="2"/>
  <c r="I35" i="2"/>
  <c r="D35" i="2"/>
  <c r="B32" i="2"/>
  <c r="I17" i="20" a="1"/>
  <c r="I17" i="20" s="1"/>
  <c r="J12" i="18"/>
  <c r="D15" i="2"/>
  <c r="E18" i="20" a="1"/>
  <c r="E18" i="20" s="1"/>
  <c r="I18" i="20" a="1"/>
  <c r="I18" i="20" s="1"/>
  <c r="J14" i="18"/>
  <c r="C33" i="2"/>
  <c r="I10" i="20" a="1"/>
  <c r="I10" i="20" s="1"/>
  <c r="F36" i="2"/>
  <c r="G32" i="2"/>
  <c r="J24" i="18"/>
  <c r="C36" i="2"/>
  <c r="E11" i="20" a="1"/>
  <c r="E11" i="20" s="1"/>
  <c r="I16" i="20" a="1"/>
  <c r="I16" i="20" s="1"/>
  <c r="H33" i="2"/>
  <c r="E35" i="2"/>
  <c r="E27" i="2" s="1"/>
  <c r="D31" i="2"/>
  <c r="I19" i="20" a="1"/>
  <c r="I19" i="20" s="1"/>
  <c r="I41" i="2"/>
  <c r="J23" i="18"/>
  <c r="J26" i="18"/>
  <c r="G2" i="2"/>
  <c r="G1" i="2"/>
  <c r="E13" i="20" a="1"/>
  <c r="E13" i="20" s="1"/>
  <c r="J17" i="18"/>
  <c r="G42" i="2"/>
  <c r="I31" i="2"/>
  <c r="C35" i="2"/>
  <c r="C27" i="2" s="1"/>
  <c r="F41" i="2"/>
  <c r="J11" i="18"/>
  <c r="D32" i="2"/>
  <c r="F33" i="2"/>
  <c r="E15" i="20" a="1"/>
  <c r="E15" i="20" s="1"/>
  <c r="D33" i="2"/>
  <c r="G36" i="2"/>
  <c r="G31" i="2"/>
  <c r="E34" i="2"/>
  <c r="I36" i="2"/>
  <c r="E32" i="2"/>
  <c r="J5" i="18"/>
  <c r="C41" i="2"/>
  <c r="C42" i="2"/>
  <c r="J6" i="18"/>
  <c r="F35" i="2"/>
  <c r="C10" i="20"/>
  <c r="I13" i="20" a="1"/>
  <c r="I13" i="20" s="1"/>
  <c r="E31" i="2"/>
  <c r="H34" i="2"/>
  <c r="I15" i="2"/>
  <c r="E33" i="2"/>
  <c r="G15" i="2"/>
  <c r="H15" i="2"/>
  <c r="H31" i="2"/>
  <c r="H29" i="2" s="1"/>
  <c r="B34" i="2"/>
  <c r="J3" i="18"/>
  <c r="B41" i="2"/>
  <c r="E16" i="20" a="1"/>
  <c r="E16" i="20" s="1"/>
  <c r="B36" i="2"/>
  <c r="B19" i="6"/>
  <c r="B26" i="6"/>
  <c r="B25" i="6"/>
  <c r="B21" i="6"/>
  <c r="B15" i="2"/>
  <c r="B20" i="6"/>
  <c r="B23" i="6"/>
  <c r="B24" i="6"/>
  <c r="B22" i="6"/>
  <c r="I2" i="2"/>
  <c r="I1" i="2"/>
  <c r="F15" i="2"/>
  <c r="I32" i="2"/>
  <c r="H1" i="2"/>
  <c r="H2" i="2"/>
  <c r="J22" i="18"/>
  <c r="G33" i="2"/>
  <c r="I42" i="2"/>
  <c r="J25" i="18"/>
  <c r="B35" i="2"/>
  <c r="B27" i="2" s="1"/>
  <c r="D2" i="2"/>
  <c r="D1" i="2"/>
  <c r="E2" i="2"/>
  <c r="E1" i="2"/>
  <c r="C15" i="2"/>
  <c r="E17" i="20" a="1"/>
  <c r="E17" i="20" s="1"/>
  <c r="G34" i="2"/>
  <c r="E19" i="20" a="1"/>
  <c r="E19" i="20" s="1"/>
  <c r="D34" i="2"/>
  <c r="E12" i="20" a="1"/>
  <c r="E12" i="20" s="1"/>
  <c r="C34" i="2"/>
  <c r="I15" i="20" a="1"/>
  <c r="I15" i="20" s="1"/>
  <c r="I33" i="2"/>
  <c r="J20" i="18"/>
  <c r="C1" i="2"/>
  <c r="C2" i="2"/>
  <c r="F32" i="2"/>
  <c r="H42" i="2"/>
  <c r="J21" i="18"/>
  <c r="B9" i="16" a="1"/>
  <c r="B9" i="16" s="1"/>
  <c r="B13" i="15" a="1"/>
  <c r="B13" i="15" s="1"/>
  <c r="B10" i="16" a="1"/>
  <c r="B10" i="16" s="1"/>
  <c r="B11" i="15" a="1"/>
  <c r="B11" i="15" s="1"/>
  <c r="B12" i="16" a="1"/>
  <c r="B12" i="16" s="1"/>
  <c r="B2" i="2"/>
  <c r="B11" i="16" a="1"/>
  <c r="B11" i="16" s="1"/>
  <c r="B12" i="15" a="1"/>
  <c r="B12" i="15" s="1"/>
  <c r="B1" i="2"/>
  <c r="B10" i="15" a="1"/>
  <c r="B10" i="15" s="1"/>
  <c r="B13" i="16" a="1"/>
  <c r="B13" i="16" s="1"/>
  <c r="B9" i="15" a="1"/>
  <c r="B9" i="15" s="1"/>
  <c r="J10" i="18"/>
  <c r="E42" i="2"/>
  <c r="B33" i="2"/>
  <c r="D10" i="20" a="1"/>
  <c r="D29" i="2" l="1"/>
  <c r="I27" i="2"/>
  <c r="D10" i="20"/>
  <c r="I30" i="2"/>
  <c r="D27" i="2"/>
  <c r="E29" i="2"/>
  <c r="L8" i="2"/>
  <c r="L6" i="2" s="1"/>
  <c r="F30" i="2"/>
  <c r="E30" i="2"/>
  <c r="D30" i="2"/>
  <c r="I29" i="2"/>
  <c r="B30" i="2"/>
  <c r="C30" i="2"/>
  <c r="B29" i="2"/>
  <c r="K8" i="2"/>
  <c r="K5" i="2" s="1"/>
  <c r="G30" i="2"/>
  <c r="H30" i="2"/>
  <c r="C29" i="2"/>
  <c r="G29" i="2"/>
  <c r="F29" i="2"/>
  <c r="F13" i="16"/>
  <c r="G13" i="16"/>
  <c r="C13" i="16"/>
  <c r="H13" i="16"/>
  <c r="G11" i="16"/>
  <c r="F11" i="16"/>
  <c r="H11" i="16"/>
  <c r="G10" i="16"/>
  <c r="H10" i="16"/>
  <c r="F10" i="16"/>
  <c r="E20" i="6"/>
  <c r="D20" i="6"/>
  <c r="C20" i="6"/>
  <c r="B3" i="13" a="1"/>
  <c r="B3" i="13" s="1"/>
  <c r="D26" i="6"/>
  <c r="E26" i="6"/>
  <c r="B9" i="13" a="1"/>
  <c r="B9" i="13" s="1"/>
  <c r="C26" i="6"/>
  <c r="F27" i="2"/>
  <c r="F10" i="15"/>
  <c r="G10" i="15"/>
  <c r="C10" i="15"/>
  <c r="H10" i="15"/>
  <c r="F13" i="15"/>
  <c r="H13" i="15"/>
  <c r="C13" i="15"/>
  <c r="G13" i="15"/>
  <c r="D22" i="6"/>
  <c r="C22" i="6"/>
  <c r="B5" i="13" a="1"/>
  <c r="B5" i="13" s="1"/>
  <c r="E22" i="6"/>
  <c r="E19" i="6"/>
  <c r="C19" i="6"/>
  <c r="B2" i="13" a="1"/>
  <c r="B2" i="13" s="1"/>
  <c r="D19" i="6"/>
  <c r="A11" i="18" a="1"/>
  <c r="A11" i="18" s="1"/>
  <c r="F9" i="15"/>
  <c r="C9" i="15"/>
  <c r="H9" i="15"/>
  <c r="G9" i="15"/>
  <c r="H12" i="15"/>
  <c r="C12" i="15"/>
  <c r="G12" i="15"/>
  <c r="F12" i="15"/>
  <c r="H11" i="15"/>
  <c r="C11" i="15"/>
  <c r="F11" i="15"/>
  <c r="G11" i="15"/>
  <c r="D23" i="6"/>
  <c r="C23" i="6"/>
  <c r="E23" i="6"/>
  <c r="B6" i="13" a="1"/>
  <c r="B6" i="13" s="1"/>
  <c r="E25" i="6"/>
  <c r="D25" i="6"/>
  <c r="C25" i="6"/>
  <c r="B8" i="13" a="1"/>
  <c r="B8" i="13" s="1"/>
  <c r="G12" i="16"/>
  <c r="H12" i="16"/>
  <c r="F12" i="16"/>
  <c r="H9" i="16"/>
  <c r="F9" i="16"/>
  <c r="G9" i="16"/>
  <c r="D24" i="6"/>
  <c r="B7" i="13" a="1"/>
  <c r="B7" i="13" s="1"/>
  <c r="C24" i="6"/>
  <c r="E24" i="6"/>
  <c r="D21" i="6"/>
  <c r="B4" i="13" a="1"/>
  <c r="B4" i="13" s="1"/>
  <c r="C21" i="6"/>
  <c r="E21" i="6"/>
  <c r="G27" i="2"/>
  <c r="H27" i="2"/>
  <c r="H28" i="2"/>
  <c r="C16" i="20" a="1"/>
  <c r="D19" i="20" a="1"/>
  <c r="C14" i="20" a="1"/>
  <c r="H15" i="20" a="1"/>
  <c r="G19" i="20" a="1"/>
  <c r="G14" i="20" a="1"/>
  <c r="D17" i="20" a="1"/>
  <c r="C13" i="20" a="1"/>
  <c r="D15" i="20" a="1"/>
  <c r="C15" i="20" a="1"/>
  <c r="H11" i="20" a="1"/>
  <c r="H14" i="20" a="1"/>
  <c r="H12" i="20" a="1"/>
  <c r="G11" i="20" a="1"/>
  <c r="D14" i="20" a="1"/>
  <c r="G17" i="20" a="1"/>
  <c r="H18" i="20" a="1"/>
  <c r="C19" i="20" a="1"/>
  <c r="D11" i="20" a="1"/>
  <c r="G15" i="20" a="1"/>
  <c r="G13" i="20" a="1"/>
  <c r="H10" i="20" a="1"/>
  <c r="C12" i="20" a="1"/>
  <c r="G18" i="20" a="1"/>
  <c r="G10" i="20" a="1"/>
  <c r="D16" i="20" a="1"/>
  <c r="H13" i="20" a="1"/>
  <c r="C18" i="20" a="1"/>
  <c r="H17" i="20" a="1"/>
  <c r="C11" i="20" a="1"/>
  <c r="H19" i="20" a="1"/>
  <c r="H16" i="20" a="1"/>
  <c r="D13" i="20" a="1"/>
  <c r="C17" i="20" a="1"/>
  <c r="G16" i="20" a="1"/>
  <c r="D18" i="20" a="1"/>
  <c r="G12" i="20" a="1"/>
  <c r="D12" i="20" a="1"/>
  <c r="C9" i="16" l="1"/>
  <c r="C10" i="16"/>
  <c r="K14" i="2"/>
  <c r="C11" i="16"/>
  <c r="C12" i="16"/>
  <c r="A2" i="14"/>
  <c r="L16" i="2"/>
  <c r="F5" i="14" s="1"/>
  <c r="L7" i="2"/>
  <c r="H4" i="15" s="1"/>
  <c r="K9" i="2"/>
  <c r="L9" i="2"/>
  <c r="K6" i="2"/>
  <c r="K16" i="2"/>
  <c r="A5" i="14" s="1"/>
  <c r="H2" i="15"/>
  <c r="L11" i="2"/>
  <c r="F2" i="14"/>
  <c r="J10" i="6"/>
  <c r="H2" i="16"/>
  <c r="K11" i="2"/>
  <c r="L4" i="2"/>
  <c r="L12" i="2" s="1"/>
  <c r="L5" i="2"/>
  <c r="K13" i="2"/>
  <c r="K7" i="2"/>
  <c r="H4" i="16" s="1"/>
  <c r="L14" i="2"/>
  <c r="L13" i="2"/>
  <c r="K4" i="2"/>
  <c r="K10" i="2" s="1"/>
  <c r="J1" i="6"/>
  <c r="G18" i="20"/>
  <c r="D16" i="20"/>
  <c r="G14" i="20"/>
  <c r="G13" i="20"/>
  <c r="H18" i="20"/>
  <c r="D13" i="20"/>
  <c r="C16" i="20"/>
  <c r="C14" i="20"/>
  <c r="C11" i="20"/>
  <c r="G19" i="20"/>
  <c r="D19" i="20"/>
  <c r="D17" i="20"/>
  <c r="D15" i="20"/>
  <c r="C13" i="20"/>
  <c r="H11" i="20"/>
  <c r="H16" i="20"/>
  <c r="H15" i="20"/>
  <c r="G17" i="20"/>
  <c r="G10" i="20"/>
  <c r="C12" i="20"/>
  <c r="D14" i="20"/>
  <c r="D11" i="20"/>
  <c r="H19" i="20"/>
  <c r="C19" i="20"/>
  <c r="H12" i="20"/>
  <c r="C18" i="20"/>
  <c r="C17" i="20"/>
  <c r="H17" i="20"/>
  <c r="H10" i="20"/>
  <c r="D12" i="20"/>
  <c r="G11" i="20"/>
  <c r="H14" i="20"/>
  <c r="G16" i="20"/>
  <c r="H13" i="20"/>
  <c r="G15" i="20"/>
  <c r="G12" i="20"/>
  <c r="D18" i="20"/>
  <c r="C15" i="20"/>
  <c r="A12" i="18" a="1"/>
  <c r="A12" i="18" s="1"/>
  <c r="H11" i="18"/>
  <c r="B11" i="18"/>
  <c r="I11" i="18"/>
  <c r="D11" i="18"/>
  <c r="F11" i="18"/>
  <c r="G11" i="18"/>
  <c r="E11" i="18"/>
  <c r="C11" i="18"/>
  <c r="A3" i="13"/>
  <c r="D3" i="13"/>
  <c r="F3" i="13"/>
  <c r="E3" i="13"/>
  <c r="C3" i="13"/>
  <c r="F9" i="13"/>
  <c r="E9" i="13"/>
  <c r="C9" i="13"/>
  <c r="D9" i="13"/>
  <c r="A9" i="13"/>
  <c r="D4" i="13"/>
  <c r="E4" i="13"/>
  <c r="F4" i="13"/>
  <c r="C4" i="13"/>
  <c r="A4" i="13"/>
  <c r="E7" i="13"/>
  <c r="C7" i="13"/>
  <c r="F7" i="13"/>
  <c r="A7" i="13"/>
  <c r="D7" i="13"/>
  <c r="D8" i="13"/>
  <c r="C8" i="13"/>
  <c r="F8" i="13"/>
  <c r="A8" i="13"/>
  <c r="E8" i="13"/>
  <c r="A6" i="13"/>
  <c r="E6" i="13"/>
  <c r="F6" i="13"/>
  <c r="C6" i="13"/>
  <c r="D6" i="13"/>
  <c r="E2" i="13"/>
  <c r="F2" i="13"/>
  <c r="A2" i="13"/>
  <c r="C2" i="13"/>
  <c r="D2" i="13"/>
  <c r="C5" i="13"/>
  <c r="A5" i="13"/>
  <c r="D5" i="13"/>
  <c r="E5" i="13"/>
  <c r="F5" i="13"/>
  <c r="I28" i="2"/>
  <c r="G28" i="2"/>
  <c r="B28" i="2"/>
  <c r="F28" i="2"/>
  <c r="E28" i="2"/>
  <c r="D28" i="2"/>
  <c r="C28" i="2"/>
  <c r="L17" i="2"/>
  <c r="K17" i="2"/>
  <c r="K19" i="2"/>
  <c r="G1" i="16" l="1"/>
  <c r="F5" i="16"/>
  <c r="G1" i="15"/>
  <c r="K15" i="2"/>
  <c r="H6" i="16" s="1"/>
  <c r="B2" i="15"/>
  <c r="B2" i="16"/>
  <c r="L15" i="2"/>
  <c r="L10" i="2"/>
  <c r="K12" i="2"/>
  <c r="C12" i="18"/>
  <c r="B12" i="18"/>
  <c r="E12" i="18"/>
  <c r="I12" i="18"/>
  <c r="F12" i="18"/>
  <c r="G12" i="18"/>
  <c r="H12" i="18"/>
  <c r="D12" i="18"/>
  <c r="A13" i="18" a="1"/>
  <c r="A13" i="18" s="1"/>
  <c r="L20" i="2"/>
  <c r="L18" i="2"/>
  <c r="K20" i="2"/>
  <c r="K18" i="2"/>
  <c r="K26" i="2"/>
  <c r="L21" i="2"/>
  <c r="K24" i="2"/>
  <c r="K23" i="2"/>
  <c r="K22" i="2"/>
  <c r="L26" i="2"/>
  <c r="L23" i="2"/>
  <c r="L25" i="2"/>
  <c r="K21" i="2"/>
  <c r="L24" i="2"/>
  <c r="K25" i="2"/>
  <c r="L22" i="2"/>
  <c r="L19" i="2"/>
  <c r="F6" i="15" l="1"/>
  <c r="G2" i="15"/>
  <c r="G2" i="16"/>
  <c r="F6" i="16"/>
  <c r="F5" i="15"/>
  <c r="B9" i="14"/>
  <c r="H8" i="14"/>
  <c r="B7" i="14"/>
  <c r="G9" i="14"/>
  <c r="C5" i="15"/>
  <c r="D6" i="15"/>
  <c r="C7" i="14"/>
  <c r="B8" i="14"/>
  <c r="G7" i="14"/>
  <c r="D6" i="16"/>
  <c r="C9" i="14"/>
  <c r="D6" i="14"/>
  <c r="C4" i="16"/>
  <c r="C5" i="16"/>
  <c r="K33" i="2"/>
  <c r="H9" i="14"/>
  <c r="L32" i="2"/>
  <c r="D5" i="16"/>
  <c r="L33" i="2"/>
  <c r="L34" i="2"/>
  <c r="G8" i="14"/>
  <c r="D4" i="15"/>
  <c r="D5" i="15"/>
  <c r="L31" i="2"/>
  <c r="C6" i="15"/>
  <c r="K34" i="2"/>
  <c r="C4" i="15"/>
  <c r="L35" i="2"/>
  <c r="L36" i="2"/>
  <c r="C8" i="14"/>
  <c r="K35" i="2"/>
  <c r="K31" i="2"/>
  <c r="K36" i="2"/>
  <c r="H7" i="14"/>
  <c r="C6" i="16"/>
  <c r="K32" i="2"/>
  <c r="D4" i="16"/>
  <c r="H6" i="15"/>
  <c r="I6" i="14"/>
  <c r="A14" i="18" a="1"/>
  <c r="A14" i="18" s="1"/>
  <c r="D13" i="18"/>
  <c r="B13" i="18"/>
  <c r="G13" i="18"/>
  <c r="F13" i="18"/>
  <c r="I13" i="18"/>
  <c r="H13" i="18"/>
  <c r="C13" i="18"/>
  <c r="E13" i="18"/>
  <c r="K30" i="2" l="1"/>
  <c r="L30" i="2"/>
  <c r="K29" i="2"/>
  <c r="L29" i="2"/>
  <c r="L27" i="2"/>
  <c r="K27" i="2"/>
  <c r="G14" i="18"/>
  <c r="H14" i="18"/>
  <c r="D14" i="18"/>
  <c r="E14" i="18"/>
  <c r="I14" i="18"/>
  <c r="C14" i="18"/>
  <c r="B14" i="18"/>
  <c r="F14" i="18"/>
  <c r="A15" i="18" a="1"/>
  <c r="A15" i="18" s="1"/>
  <c r="A16" i="18" l="1" a="1"/>
  <c r="A16" i="18" s="1"/>
  <c r="A17" i="18" s="1" a="1"/>
  <c r="A17" i="18" s="1"/>
  <c r="D15" i="18"/>
  <c r="B15" i="18"/>
  <c r="C15" i="18"/>
  <c r="E15" i="18"/>
  <c r="I15" i="18"/>
  <c r="G15" i="18"/>
  <c r="H15" i="18"/>
  <c r="F15" i="18"/>
  <c r="K28" i="2"/>
  <c r="L28" i="2"/>
  <c r="F16" i="18" l="1"/>
  <c r="G16" i="18"/>
  <c r="I16" i="18"/>
  <c r="B16" i="18"/>
  <c r="H16" i="18"/>
  <c r="C16" i="18"/>
  <c r="E16" i="18"/>
  <c r="D16" i="18"/>
  <c r="H17" i="18"/>
  <c r="I17" i="18"/>
  <c r="D17" i="18"/>
  <c r="B17" i="18"/>
  <c r="F17" i="18"/>
  <c r="E17" i="18"/>
  <c r="C17" i="18"/>
  <c r="G17" i="18"/>
  <c r="A18" i="18" a="1"/>
  <c r="A18" i="18" s="1"/>
  <c r="C18" i="18" l="1"/>
  <c r="H18" i="18"/>
  <c r="F18" i="18"/>
  <c r="I18" i="18"/>
  <c r="G18" i="18"/>
  <c r="B18" i="18"/>
  <c r="E18" i="18"/>
  <c r="D18" i="18"/>
  <c r="A19" i="18" a="1"/>
  <c r="A19" i="18" s="1"/>
  <c r="I19" i="18" l="1"/>
  <c r="B19" i="18"/>
  <c r="G19" i="18"/>
  <c r="D19" i="18"/>
  <c r="F19" i="18"/>
  <c r="H19" i="18"/>
  <c r="E19" i="18"/>
  <c r="C19" i="18"/>
  <c r="A20" i="18" a="1"/>
  <c r="A20" i="18" s="1"/>
  <c r="G20" i="18" l="1"/>
  <c r="B20" i="18"/>
  <c r="C20" i="18"/>
  <c r="E20" i="18"/>
  <c r="D20" i="18"/>
  <c r="H20" i="18"/>
  <c r="F20" i="18"/>
  <c r="I20" i="18"/>
  <c r="A21" i="18" a="1"/>
  <c r="A21" i="18" s="1"/>
  <c r="I21" i="18" l="1"/>
  <c r="E21" i="18"/>
  <c r="B21" i="18"/>
  <c r="G21" i="18"/>
  <c r="C21" i="18"/>
  <c r="D21" i="18"/>
  <c r="H21" i="18"/>
  <c r="F21" i="18"/>
  <c r="A22" i="18" a="1"/>
  <c r="A22" i="18" s="1"/>
  <c r="E22" i="18" l="1"/>
  <c r="I22" i="18"/>
  <c r="F22" i="18"/>
  <c r="D22" i="18"/>
  <c r="G22" i="18"/>
  <c r="H22" i="18"/>
  <c r="C22" i="18"/>
  <c r="B22" i="18"/>
  <c r="A23" i="18" a="1"/>
  <c r="A23" i="18" s="1"/>
  <c r="F23" i="18" l="1"/>
  <c r="D23" i="18"/>
  <c r="B23" i="18"/>
  <c r="H23" i="18"/>
  <c r="G23" i="18"/>
  <c r="C23" i="18"/>
  <c r="E23" i="18"/>
  <c r="I23" i="18"/>
  <c r="A24" i="18" a="1"/>
  <c r="A24" i="18" s="1"/>
  <c r="H24" i="18" l="1"/>
  <c r="E24" i="18"/>
  <c r="I24" i="18"/>
  <c r="C24" i="18"/>
  <c r="G24" i="18"/>
  <c r="F24" i="18"/>
  <c r="B24" i="18"/>
  <c r="D24" i="18"/>
  <c r="A25" i="18" a="1"/>
  <c r="A25" i="18" s="1"/>
  <c r="I25" i="18" l="1"/>
  <c r="H25" i="18"/>
  <c r="B25" i="18"/>
  <c r="F25" i="18"/>
  <c r="E25" i="18"/>
  <c r="G25" i="18"/>
  <c r="C25" i="18"/>
  <c r="D25" i="18"/>
  <c r="A26" i="18" a="1"/>
  <c r="A26" i="18" s="1"/>
  <c r="H26" i="18" l="1"/>
  <c r="E26" i="18"/>
  <c r="B26" i="18"/>
  <c r="C26" i="18"/>
  <c r="D26" i="18"/>
  <c r="F26" i="18"/>
  <c r="I26" i="18"/>
  <c r="G26" i="18"/>
  <c r="A27" i="18" a="1"/>
  <c r="A27" i="18" s="1"/>
  <c r="H27" i="18" l="1"/>
  <c r="I27" i="18"/>
  <c r="F27" i="18"/>
  <c r="B27" i="18"/>
  <c r="C27" i="18"/>
  <c r="G27" i="18"/>
  <c r="D27" i="18"/>
  <c r="E27" i="18"/>
  <c r="A28" i="18" a="1"/>
  <c r="A28" i="18" s="1"/>
  <c r="B28" i="18" l="1"/>
  <c r="I28" i="18"/>
  <c r="C28" i="18"/>
  <c r="H28" i="18"/>
  <c r="D28" i="18"/>
  <c r="E28" i="18"/>
  <c r="F28" i="18"/>
  <c r="G28" i="18"/>
  <c r="A29" i="18" a="1"/>
  <c r="A29" i="18" s="1"/>
  <c r="F29" i="18" l="1"/>
  <c r="I29" i="18"/>
  <c r="D29" i="18"/>
  <c r="B29" i="18"/>
  <c r="E29" i="18"/>
  <c r="G29" i="18"/>
  <c r="C29" i="18"/>
  <c r="H29" i="18"/>
  <c r="A30" i="18" a="1"/>
  <c r="A30" i="18" s="1"/>
  <c r="I30" i="18" l="1"/>
  <c r="B30" i="18"/>
  <c r="G30" i="18"/>
  <c r="C30" i="18"/>
  <c r="H30" i="18"/>
  <c r="D30" i="18"/>
  <c r="E30" i="18"/>
  <c r="F30" i="18"/>
  <c r="A31" i="18" a="1"/>
  <c r="A31" i="18" s="1"/>
  <c r="C31" i="18" l="1"/>
  <c r="F31" i="18"/>
  <c r="D31" i="18"/>
  <c r="G31" i="18"/>
  <c r="H31" i="18"/>
  <c r="I31" i="18"/>
  <c r="B31" i="18"/>
  <c r="E31" i="18"/>
  <c r="A32" i="18" a="1"/>
  <c r="A32" i="18" s="1"/>
  <c r="G32" i="18" l="1"/>
  <c r="H32" i="18"/>
  <c r="F32" i="18"/>
  <c r="C32" i="18"/>
  <c r="D32" i="18"/>
  <c r="E32" i="18"/>
  <c r="B32" i="18"/>
  <c r="I32" i="18"/>
  <c r="A33" i="18" a="1"/>
  <c r="A33" i="18" s="1"/>
  <c r="E33" i="18" l="1"/>
  <c r="B33" i="18"/>
  <c r="G33" i="18"/>
  <c r="H33" i="18"/>
  <c r="C33" i="18"/>
  <c r="F33" i="18"/>
  <c r="D33" i="18"/>
  <c r="I33" i="18"/>
  <c r="A34" i="18" a="1"/>
  <c r="A34" i="18" s="1"/>
  <c r="E34" i="18" l="1"/>
  <c r="C34" i="18"/>
  <c r="D34" i="18"/>
  <c r="F34" i="18"/>
  <c r="P4" i="18" s="1" a="1"/>
  <c r="P4" i="18" s="1"/>
  <c r="Q4" i="18" s="1"/>
  <c r="G34" i="18"/>
  <c r="P7" i="18" s="1" a="1"/>
  <c r="P7" i="18" s="1"/>
  <c r="Q7" i="18" s="1"/>
  <c r="B34" i="18"/>
  <c r="H34" i="18"/>
  <c r="I34" i="18"/>
  <c r="P10" i="18" l="1" a="1"/>
  <c r="P10" i="18" s="1"/>
  <c r="P14" i="18" a="1"/>
  <c r="P14" i="18" s="1"/>
  <c r="P13" i="18" a="1"/>
  <c r="P13" i="18" s="1"/>
  <c r="Q13" i="18" s="1"/>
  <c r="P2" i="18" a="1"/>
  <c r="P2" i="18" s="1"/>
  <c r="P3" i="18" a="1"/>
  <c r="P3" i="18" s="1"/>
  <c r="Q3" i="18" s="1"/>
  <c r="P9" i="18" a="1"/>
  <c r="P9" i="18" s="1"/>
  <c r="P8" i="18" a="1"/>
  <c r="P8" i="18" s="1"/>
  <c r="Q8" i="18" s="1"/>
  <c r="P5" i="18" a="1"/>
  <c r="P5" i="18" s="1"/>
  <c r="P17" i="18" a="1"/>
  <c r="P17" i="18" s="1"/>
  <c r="Q17" i="18" s="1"/>
  <c r="P6" i="18" a="1"/>
  <c r="P6" i="18" s="1"/>
  <c r="Q6" i="18" s="1"/>
  <c r="P12" i="18" a="1"/>
  <c r="P12" i="18" s="1"/>
  <c r="Q12" i="18" s="1"/>
  <c r="P15" i="18" a="1"/>
  <c r="P15" i="18" s="1"/>
  <c r="P11" i="18" a="1"/>
  <c r="P11" i="18" s="1"/>
  <c r="I2" i="18"/>
  <c r="I6" i="18"/>
  <c r="I5" i="18"/>
  <c r="I7" i="18"/>
  <c r="I8" i="18"/>
  <c r="I3" i="18"/>
  <c r="I4" i="18"/>
  <c r="F8" i="18"/>
  <c r="F9" i="18"/>
  <c r="F7" i="18"/>
  <c r="F2" i="18"/>
  <c r="F4" i="18"/>
  <c r="F3" i="18"/>
  <c r="F5" i="18"/>
  <c r="D7" i="18"/>
  <c r="D8" i="18"/>
  <c r="D3" i="18"/>
  <c r="D2" i="18"/>
  <c r="D5" i="18"/>
  <c r="D6" i="18"/>
  <c r="D9" i="18"/>
  <c r="B4" i="18"/>
  <c r="B3" i="18"/>
  <c r="B7" i="18"/>
  <c r="B9" i="18"/>
  <c r="B8" i="18"/>
  <c r="B6" i="18"/>
  <c r="B5" i="18"/>
  <c r="C7" i="18"/>
  <c r="C4" i="18"/>
  <c r="C9" i="18"/>
  <c r="C5" i="18"/>
  <c r="C6" i="18"/>
  <c r="C8" i="18"/>
  <c r="C2" i="18"/>
  <c r="P16" i="18" a="1"/>
  <c r="P16" i="18" s="1"/>
  <c r="H3" i="18"/>
  <c r="H6" i="18"/>
  <c r="H5" i="18"/>
  <c r="H4" i="18"/>
  <c r="H2" i="18"/>
  <c r="H7" i="18"/>
  <c r="H9" i="18"/>
  <c r="G8" i="18"/>
  <c r="G9" i="18"/>
  <c r="G4" i="18"/>
  <c r="G3" i="18"/>
  <c r="G2" i="18"/>
  <c r="G5" i="18"/>
  <c r="G6" i="18"/>
  <c r="E6" i="18"/>
  <c r="E3" i="18"/>
  <c r="E8" i="18"/>
  <c r="E2" i="18"/>
  <c r="E4" i="18"/>
  <c r="E9" i="18"/>
  <c r="E7" i="18"/>
  <c r="P20" i="18" a="1"/>
  <c r="P23" i="18" a="1"/>
  <c r="P21" i="18" a="1"/>
  <c r="P31" i="18" a="1"/>
  <c r="P26" i="18" a="1"/>
  <c r="P27" i="18" a="1"/>
  <c r="P25" i="18" a="1"/>
  <c r="P30" i="18" a="1"/>
  <c r="P33" i="18" a="1"/>
  <c r="P18" i="18" a="1"/>
  <c r="P22" i="18" a="1"/>
  <c r="P23" i="18" l="1"/>
  <c r="Q23" i="18" s="1"/>
  <c r="P20" i="18"/>
  <c r="T4" i="18" s="1"/>
  <c r="P26" i="18"/>
  <c r="T10" i="18" s="1"/>
  <c r="Q10" i="18"/>
  <c r="P30" i="18"/>
  <c r="T14" i="18" s="1"/>
  <c r="Q14" i="18"/>
  <c r="P25" i="18"/>
  <c r="Q25" i="18" s="1"/>
  <c r="P21" i="18"/>
  <c r="Q21" i="18" s="1"/>
  <c r="P18" i="18"/>
  <c r="Q18" i="18" s="1"/>
  <c r="Q9" i="18"/>
  <c r="T9" i="18"/>
  <c r="Q5" i="18"/>
  <c r="Q2" i="18"/>
  <c r="P33" i="18"/>
  <c r="Q33" i="18" s="1"/>
  <c r="P22" i="18"/>
  <c r="P31" i="18"/>
  <c r="Q31" i="18" s="1"/>
  <c r="P27" i="18"/>
  <c r="Q27" i="18" s="1"/>
  <c r="Q15" i="18"/>
  <c r="Q11" i="18"/>
  <c r="Q16" i="18"/>
  <c r="P32" i="18" a="1"/>
  <c r="P28" i="18" a="1"/>
  <c r="Q20" i="18" l="1"/>
  <c r="Q30" i="18"/>
  <c r="Q26" i="18"/>
  <c r="T7" i="18"/>
  <c r="T2" i="18"/>
  <c r="T5" i="18"/>
  <c r="P28" i="18"/>
  <c r="Q28" i="18" s="1"/>
  <c r="T17" i="18"/>
  <c r="T15" i="18"/>
  <c r="Q22" i="18"/>
  <c r="T6" i="18"/>
  <c r="T11" i="18"/>
  <c r="P32" i="18"/>
  <c r="T12" i="18" l="1"/>
  <c r="Q32" i="18"/>
  <c r="T16" i="18"/>
  <c r="N4" i="21" a="1"/>
  <c r="N4" i="21" l="1"/>
  <c r="O4" i="21" s="1"/>
  <c r="P19" i="18" a="1"/>
  <c r="P24" i="18" a="1"/>
  <c r="P29" i="18" a="1"/>
  <c r="P24" i="18" l="1"/>
  <c r="P29" i="18"/>
  <c r="P19" i="18"/>
  <c r="Q19" i="18" l="1"/>
  <c r="T3" i="18"/>
  <c r="Q29" i="18"/>
  <c r="T13" i="18"/>
  <c r="Q24" i="18"/>
  <c r="T8" i="18"/>
  <c r="N5" i="21" a="1"/>
  <c r="N5" i="21" l="1"/>
  <c r="O5" i="21" s="1"/>
  <c r="N6" i="21" a="1"/>
  <c r="N6" i="21" l="1"/>
  <c r="O6" i="21" s="1"/>
  <c r="N7" i="21" a="1"/>
  <c r="N7" i="21" l="1"/>
  <c r="O7" i="21" s="1"/>
  <c r="P5" i="21" s="1"/>
  <c r="P2" i="21" l="1"/>
  <c r="Q2" i="21" s="1"/>
  <c r="P4" i="21"/>
  <c r="P7" i="21"/>
  <c r="P6" i="21"/>
  <c r="P3" i="21"/>
  <c r="Q3" i="21" s="1"/>
  <c r="Q7" i="21" l="1"/>
  <c r="Q5" i="21"/>
  <c r="Q6" i="21"/>
  <c r="Q4" i="21"/>
  <c r="G2" i="20" l="1"/>
  <c r="H2" i="20" s="1"/>
  <c r="G3" i="20"/>
  <c r="F3" i="20" s="1"/>
  <c r="G5" i="20"/>
  <c r="F5" i="20" s="1"/>
  <c r="G4" i="20"/>
  <c r="F4" i="20" s="1"/>
  <c r="G7" i="20"/>
  <c r="F7" i="20" s="1"/>
  <c r="G6" i="20"/>
  <c r="H6" i="20" s="1"/>
  <c r="F2" i="20" l="1"/>
  <c r="H3" i="20"/>
  <c r="H7" i="20"/>
  <c r="H4" i="20"/>
  <c r="F6" i="20"/>
  <c r="H5" i="20"/>
</calcChain>
</file>

<file path=xl/sharedStrings.xml><?xml version="1.0" encoding="utf-8"?>
<sst xmlns="http://schemas.openxmlformats.org/spreadsheetml/2006/main" count="2884" uniqueCount="255">
  <si>
    <t>Double Mixte 1</t>
  </si>
  <si>
    <t>Set1</t>
  </si>
  <si>
    <t>Set2</t>
  </si>
  <si>
    <t>Set3</t>
  </si>
  <si>
    <t>DH</t>
  </si>
  <si>
    <t>DD</t>
  </si>
  <si>
    <t>Score</t>
  </si>
  <si>
    <t>N°</t>
  </si>
  <si>
    <t>Ordre</t>
  </si>
  <si>
    <t>Durée</t>
  </si>
  <si>
    <t>SH1</t>
  </si>
  <si>
    <t>SH2</t>
  </si>
  <si>
    <t>SD1</t>
  </si>
  <si>
    <t>SD2</t>
  </si>
  <si>
    <t>MATCH</t>
  </si>
  <si>
    <t>FM Senior</t>
  </si>
  <si>
    <t>Classeur Officiel FFBAD</t>
  </si>
  <si>
    <t>Feuille du classeur officiel</t>
  </si>
  <si>
    <t>DM1</t>
  </si>
  <si>
    <t>DM2</t>
  </si>
  <si>
    <t>Arbitre</t>
  </si>
  <si>
    <t>Terrain</t>
  </si>
  <si>
    <t>Nom-Prénom1H</t>
  </si>
  <si>
    <t>Nom-Prénom2H</t>
  </si>
  <si>
    <t>Nom-Prénom1V</t>
  </si>
  <si>
    <t>Nom-Prénom2V</t>
  </si>
  <si>
    <t>Heure Début</t>
  </si>
  <si>
    <t>Heure Fin</t>
  </si>
  <si>
    <t>Terrain1</t>
  </si>
  <si>
    <t>Terrain2</t>
  </si>
  <si>
    <t>Match en cours</t>
  </si>
  <si>
    <t>Simple Hommes 1</t>
  </si>
  <si>
    <t>Simple Hommes 2</t>
  </si>
  <si>
    <t>Simple Dames 1</t>
  </si>
  <si>
    <t>Simple Dames 2</t>
  </si>
  <si>
    <t>Double Hommes</t>
  </si>
  <si>
    <t>Double Dames</t>
  </si>
  <si>
    <t>Double Mixtes 1</t>
  </si>
  <si>
    <t>Double Mixtes 2</t>
  </si>
  <si>
    <t>Libellé</t>
  </si>
  <si>
    <t>Classement1H</t>
  </si>
  <si>
    <t>Classement2H</t>
  </si>
  <si>
    <t>Classement1V</t>
  </si>
  <si>
    <t>Classement2V</t>
  </si>
  <si>
    <t>1ER SETH</t>
  </si>
  <si>
    <t>1ER SETV</t>
  </si>
  <si>
    <t>2ER SETH</t>
  </si>
  <si>
    <t>2ER SETV</t>
  </si>
  <si>
    <t>3ER SETH</t>
  </si>
  <si>
    <t>3ER SETV</t>
  </si>
  <si>
    <t>Heure Courante</t>
  </si>
  <si>
    <t>Terrain 1</t>
  </si>
  <si>
    <t>Terrain 2</t>
  </si>
  <si>
    <t>Liste des joueurs</t>
  </si>
  <si>
    <t>Vainqueur?</t>
  </si>
  <si>
    <t>Liens</t>
  </si>
  <si>
    <t>Lien</t>
  </si>
  <si>
    <t>JoueursLien</t>
  </si>
  <si>
    <t>JoueurLiens</t>
  </si>
  <si>
    <t>CTRL+p</t>
  </si>
  <si>
    <t>CTRL+j</t>
  </si>
  <si>
    <t>aide à l'ordre des matches pour le JA</t>
  </si>
  <si>
    <t>affichage en boucle.</t>
  </si>
  <si>
    <t>CTRL+pause</t>
  </si>
  <si>
    <t>préparation du fichier de rencontre interclubs excel FDM_ICN</t>
  </si>
  <si>
    <t xml:space="preserve">arrêt affichage, touche "echap." pour revenir à un affichage connu d'excel </t>
  </si>
  <si>
    <t>VainqueurH</t>
  </si>
  <si>
    <t>VainqueurV</t>
  </si>
  <si>
    <t>1ersetH</t>
  </si>
  <si>
    <t>1erSetV</t>
  </si>
  <si>
    <t>2ersetH</t>
  </si>
  <si>
    <t>2erSetV</t>
  </si>
  <si>
    <t>3ersetH</t>
  </si>
  <si>
    <t>3erSetV</t>
  </si>
  <si>
    <t>AbandonH</t>
  </si>
  <si>
    <t>WOH</t>
  </si>
  <si>
    <t>AbandonV</t>
  </si>
  <si>
    <t>WOV</t>
  </si>
  <si>
    <t>Retour à un affichage normal</t>
  </si>
  <si>
    <t>CTRL+r</t>
  </si>
  <si>
    <t>Participe1</t>
  </si>
  <si>
    <t>Participe2</t>
  </si>
  <si>
    <t>Hôte</t>
  </si>
  <si>
    <t>Visiteur</t>
  </si>
  <si>
    <t>Num</t>
  </si>
  <si>
    <t>EquipeH</t>
  </si>
  <si>
    <t>EquipeV</t>
  </si>
  <si>
    <t>Match</t>
  </si>
  <si>
    <t>Journée</t>
  </si>
  <si>
    <t>Poule</t>
  </si>
  <si>
    <t>Division</t>
  </si>
  <si>
    <t>Classement</t>
  </si>
  <si>
    <t>Arras</t>
  </si>
  <si>
    <t>Visiteurs</t>
  </si>
  <si>
    <t>ScoreH</t>
  </si>
  <si>
    <t>ScoreV</t>
  </si>
  <si>
    <t>Béthune</t>
  </si>
  <si>
    <t>Cholet</t>
  </si>
  <si>
    <t>Oullins</t>
  </si>
  <si>
    <t>Points</t>
  </si>
  <si>
    <t>PointsH</t>
  </si>
  <si>
    <t>PointsV</t>
  </si>
  <si>
    <t>PénaH</t>
  </si>
  <si>
    <t>PénaV</t>
  </si>
  <si>
    <t>Ville</t>
  </si>
  <si>
    <t>Rang</t>
  </si>
  <si>
    <t>Ligne</t>
  </si>
  <si>
    <t>Adversaire</t>
  </si>
  <si>
    <t>Résultat</t>
  </si>
  <si>
    <t>N1</t>
  </si>
  <si>
    <t>N3</t>
  </si>
  <si>
    <t>N2</t>
  </si>
  <si>
    <t>Val de Morteau</t>
  </si>
  <si>
    <t>Tours</t>
  </si>
  <si>
    <t>Lyon</t>
  </si>
  <si>
    <t>Mulhouse-2</t>
  </si>
  <si>
    <t>Meylan</t>
  </si>
  <si>
    <t>Antibes</t>
  </si>
  <si>
    <t>Volant des 3 Frontières</t>
  </si>
  <si>
    <t>Oullins-2</t>
  </si>
  <si>
    <t>Grenoble</t>
  </si>
  <si>
    <t>Valence</t>
  </si>
  <si>
    <t>Dijon</t>
  </si>
  <si>
    <t>Guichen BDC-2</t>
  </si>
  <si>
    <t>Union Club de la Baie</t>
  </si>
  <si>
    <t>Quimper</t>
  </si>
  <si>
    <t>Flume Ille</t>
  </si>
  <si>
    <t>Bourges</t>
  </si>
  <si>
    <t>Limoges ASBAD</t>
  </si>
  <si>
    <t>Orléans</t>
  </si>
  <si>
    <t>Jarville</t>
  </si>
  <si>
    <t>Sarreguemines</t>
  </si>
  <si>
    <t>Strasbourg ASLR</t>
  </si>
  <si>
    <t>Dommartemont</t>
  </si>
  <si>
    <t>Strasbourg ASPTT</t>
  </si>
  <si>
    <t>Talence</t>
  </si>
  <si>
    <t>Strasbourg ASPTT-2</t>
  </si>
  <si>
    <t>Etupes</t>
  </si>
  <si>
    <t>Strasbourg ASPTT-3</t>
  </si>
  <si>
    <t>Chambly</t>
  </si>
  <si>
    <t>Aire sur la Lys</t>
  </si>
  <si>
    <t>Chambly-2</t>
  </si>
  <si>
    <t>Hem</t>
  </si>
  <si>
    <t>Gravelines</t>
  </si>
  <si>
    <t>Luneray</t>
  </si>
  <si>
    <t>La Bassée</t>
  </si>
  <si>
    <t>Volant Opale Club</t>
  </si>
  <si>
    <t>Aire sur la Lys-2</t>
  </si>
  <si>
    <t>Wambrechies</t>
  </si>
  <si>
    <t>Créteil</t>
  </si>
  <si>
    <t>Racing Club de France</t>
  </si>
  <si>
    <t>Ezanville</t>
  </si>
  <si>
    <t>Gif sur Yvette</t>
  </si>
  <si>
    <t>Issy les Moulineaux</t>
  </si>
  <si>
    <t>Nozay</t>
  </si>
  <si>
    <t>Ermont</t>
  </si>
  <si>
    <t>Sénart</t>
  </si>
  <si>
    <t>Guichen BDC</t>
  </si>
  <si>
    <t>Who's Bad</t>
  </si>
  <si>
    <t>Lille</t>
  </si>
  <si>
    <t>Caen</t>
  </si>
  <si>
    <t>Val de Reuil</t>
  </si>
  <si>
    <t>Lillebonne</t>
  </si>
  <si>
    <t>Maromme</t>
  </si>
  <si>
    <t>Aulnay sous Bois</t>
  </si>
  <si>
    <t>Maromme-2</t>
  </si>
  <si>
    <t>Dives sur Mer</t>
  </si>
  <si>
    <t>Argentan</t>
  </si>
  <si>
    <t>Fos sur Mer</t>
  </si>
  <si>
    <t>Talence-2</t>
  </si>
  <si>
    <t>Castelnau le Lez</t>
  </si>
  <si>
    <t>Mont de Marsan</t>
  </si>
  <si>
    <t>Le Volant Salanquais</t>
  </si>
  <si>
    <t>Ramonville</t>
  </si>
  <si>
    <t>Toulouse TOAC</t>
  </si>
  <si>
    <t>Salbris</t>
  </si>
  <si>
    <t>Aix en Provence</t>
  </si>
  <si>
    <t>Mulhouse</t>
  </si>
  <si>
    <t>Aix en Provence-2</t>
  </si>
  <si>
    <t>Garéoult</t>
  </si>
  <si>
    <t>Fos sur Mer-2</t>
  </si>
  <si>
    <t>La Chapelle sur Erdre</t>
  </si>
  <si>
    <t>Rostrenen</t>
  </si>
  <si>
    <t>Les Ponts de Cé</t>
  </si>
  <si>
    <t>Rezé</t>
  </si>
  <si>
    <t>Rencontre</t>
  </si>
  <si>
    <t>Bourg en Bresse/Ceyzériat</t>
  </si>
  <si>
    <t>Bron</t>
  </si>
  <si>
    <t>Clermont Ferrand CUC</t>
  </si>
  <si>
    <t>Troyes</t>
  </si>
  <si>
    <t>Clermont Ferrand VDD</t>
  </si>
  <si>
    <t>Top12</t>
  </si>
  <si>
    <t>Tain Tournon</t>
  </si>
  <si>
    <t>Pays de Fougères</t>
  </si>
  <si>
    <t>Rostrenen-2</t>
  </si>
  <si>
    <t>Gien</t>
  </si>
  <si>
    <t>Nancy Villers</t>
  </si>
  <si>
    <t>Volant des 3 Frontières-2</t>
  </si>
  <si>
    <t>Grande Synthe</t>
  </si>
  <si>
    <t>Boulogne Billancourt</t>
  </si>
  <si>
    <t>Boulogne Billancourt-2</t>
  </si>
  <si>
    <t>Chaville</t>
  </si>
  <si>
    <t>Rueil Malmaison</t>
  </si>
  <si>
    <t>Bordeaux Saint Bruno</t>
  </si>
  <si>
    <t>Bordeaux Saint Bruno-2</t>
  </si>
  <si>
    <t>Bordeaux Chantecler</t>
  </si>
  <si>
    <t>Buxerolles</t>
  </si>
  <si>
    <t>Lanester</t>
  </si>
  <si>
    <t>Saint Brieuc</t>
  </si>
  <si>
    <t>Pau</t>
  </si>
  <si>
    <t>Vitrolles</t>
  </si>
  <si>
    <t>Avrillé</t>
  </si>
  <si>
    <t>Le Cellier Ligné</t>
  </si>
  <si>
    <t>Cholet-2</t>
  </si>
  <si>
    <t>Cholet/Ailleurs</t>
  </si>
  <si>
    <t>Colmar</t>
  </si>
  <si>
    <t>Maure</t>
  </si>
  <si>
    <t>Saint Jacques</t>
  </si>
  <si>
    <t>Ent Sportive 2 Badminton</t>
  </si>
  <si>
    <t>Entente Nord Alsace</t>
  </si>
  <si>
    <t>Reims</t>
  </si>
  <si>
    <t>Montrouge</t>
  </si>
  <si>
    <t>Amiens</t>
  </si>
  <si>
    <t>Arras-2</t>
  </si>
  <si>
    <t>Paris CSM</t>
  </si>
  <si>
    <t>Le Havre ASBTT</t>
  </si>
  <si>
    <t>Le Grand Quevilly</t>
  </si>
  <si>
    <t>Saint Maur</t>
  </si>
  <si>
    <t>Spay</t>
  </si>
  <si>
    <t>Tours-2</t>
  </si>
  <si>
    <t>Orléans-2</t>
  </si>
  <si>
    <t>Gradignan</t>
  </si>
  <si>
    <t>Pessac</t>
  </si>
  <si>
    <t>Maisons Laffitte</t>
  </si>
  <si>
    <t>Le Havre HBC</t>
  </si>
  <si>
    <t>Blagnac</t>
  </si>
  <si>
    <t>Sète</t>
  </si>
  <si>
    <t>Montalieu Vercieu</t>
  </si>
  <si>
    <t>Ollioules</t>
  </si>
  <si>
    <t>Pernes</t>
  </si>
  <si>
    <t>Annecy</t>
  </si>
  <si>
    <t>La Flèche</t>
  </si>
  <si>
    <t>Saint Barthélémy</t>
  </si>
  <si>
    <t>J01</t>
  </si>
  <si>
    <t>J02</t>
  </si>
  <si>
    <t>J03</t>
  </si>
  <si>
    <t>J04</t>
  </si>
  <si>
    <t>J05</t>
  </si>
  <si>
    <t>J06</t>
  </si>
  <si>
    <t>J07</t>
  </si>
  <si>
    <t>J08</t>
  </si>
  <si>
    <t>J09</t>
  </si>
  <si>
    <t>J10</t>
  </si>
  <si>
    <t>CTRL+b</t>
  </si>
  <si>
    <t>J04260N11.xls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</si>
</sst>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h:mm"/>
    <numFmt numFmtId="166" formatCode="h:mm;@"/>
    <numFmt numFmtId="167" formatCode="##"/>
    <numFmt numFmtId="168" formatCode="&quot;Terrain &quot;#"/>
    <numFmt numFmtId="169" formatCode="[$-F800]dddd\,\ mmmm\ dd\,\ yyyy"/>
    <numFmt numFmtId="170" formatCode="&quot;J&quot;00"/>
    <numFmt numFmtId="171" formatCode="\J00"/>
  </numFmts>
  <fonts count="7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4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rgb="FFC00000"/>
      <name val="AngryBirds"/>
    </font>
    <font>
      <b/>
      <sz val="20"/>
      <color theme="3"/>
      <name val="AngryBirds"/>
    </font>
    <font>
      <b/>
      <sz val="28"/>
      <color theme="1"/>
      <name val="AngryBirds"/>
    </font>
    <font>
      <b/>
      <sz val="48"/>
      <color theme="1"/>
      <name val="AngryBirds"/>
    </font>
    <font>
      <b/>
      <sz val="26"/>
      <color theme="1"/>
      <name val="AngryBirds"/>
    </font>
    <font>
      <b/>
      <sz val="36"/>
      <color theme="1"/>
      <name val="AngryBirds"/>
    </font>
    <font>
      <b/>
      <i/>
      <sz val="130"/>
      <color rgb="FFC00000"/>
      <name val="AngryBirds"/>
    </font>
    <font>
      <b/>
      <sz val="72"/>
      <color rgb="FF0070C0"/>
      <name val="AngryBirds"/>
    </font>
    <font>
      <b/>
      <sz val="60"/>
      <color rgb="FFC00000"/>
      <name val="AngryBirds"/>
    </font>
    <font>
      <b/>
      <i/>
      <sz val="48"/>
      <color theme="1"/>
      <name val="AngryBirds"/>
    </font>
    <font>
      <b/>
      <sz val="36"/>
      <color theme="3"/>
      <name val="AngryBirds"/>
    </font>
    <font>
      <sz val="48"/>
      <color theme="3"/>
      <name val="AngryBirds"/>
    </font>
    <font>
      <b/>
      <sz val="18"/>
      <color theme="1"/>
      <name val="AngryBirds"/>
    </font>
    <font>
      <b/>
      <i/>
      <sz val="130"/>
      <color rgb="FFFF0000"/>
      <name val="AngryBirds"/>
    </font>
    <font>
      <b/>
      <i/>
      <sz val="115"/>
      <color rgb="FFFF0000"/>
      <name val="AngryBirds"/>
    </font>
    <font>
      <b/>
      <sz val="24"/>
      <color rgb="FFFF0000"/>
      <name val="AngryBirds"/>
    </font>
    <font>
      <b/>
      <i/>
      <sz val="105"/>
      <color rgb="FFFF0000"/>
      <name val="AngryBirds"/>
    </font>
    <font>
      <b/>
      <i/>
      <sz val="90"/>
      <color rgb="FF002060"/>
      <name val="AngryBirds"/>
    </font>
    <font>
      <sz val="90"/>
      <color theme="1"/>
      <name val="Calibri"/>
      <family val="2"/>
      <scheme val="minor"/>
    </font>
    <font>
      <b/>
      <i/>
      <sz val="90"/>
      <color rgb="FFFF0000"/>
      <name val="AngryBirds"/>
    </font>
    <font>
      <b/>
      <i/>
      <sz val="90"/>
      <color rgb="FFFF0000"/>
      <name val="Arial"/>
      <family val="2"/>
    </font>
    <font>
      <sz val="11"/>
      <color theme="3"/>
      <name val="Calibri"/>
      <family val="2"/>
      <scheme val="minor"/>
    </font>
    <font>
      <b/>
      <i/>
      <sz val="90"/>
      <color theme="3"/>
      <name val="Arial"/>
      <family val="2"/>
    </font>
    <font>
      <sz val="90"/>
      <color theme="3"/>
      <name val="Arial"/>
      <family val="2"/>
    </font>
    <font>
      <sz val="11"/>
      <color theme="1"/>
      <name val="Calibri"/>
      <family val="2"/>
      <scheme val="minor"/>
    </font>
    <font>
      <b/>
      <i/>
      <sz val="60"/>
      <color rgb="FFFF0000"/>
      <name val="AngryBirds"/>
    </font>
    <font>
      <b/>
      <i/>
      <sz val="110"/>
      <color rgb="FFFF0000"/>
      <name val="AngryBirds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26"/>
      <color theme="3"/>
      <name val="Calibri"/>
      <family val="2"/>
      <scheme val="minor"/>
    </font>
    <font>
      <b/>
      <sz val="28"/>
      <color rgb="FFFF0000"/>
      <name val="AngryBirds"/>
    </font>
    <font>
      <sz val="28"/>
      <color theme="1"/>
      <name val="Calibri"/>
      <family val="2"/>
      <scheme val="minor"/>
    </font>
    <font>
      <b/>
      <sz val="28"/>
      <color theme="1"/>
      <name val="Arial"/>
      <family val="2"/>
    </font>
    <font>
      <b/>
      <sz val="28"/>
      <color rgb="FF0070C0"/>
      <name val="AngryBirds"/>
    </font>
    <font>
      <b/>
      <i/>
      <sz val="60"/>
      <color rgb="FF0070C0"/>
      <name val="AngryBirds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0"/>
      <color rgb="FF0070C0"/>
      <name val="AngryBirds"/>
    </font>
    <font>
      <b/>
      <sz val="24"/>
      <color rgb="FF0070C0"/>
      <name val="AngryBirds"/>
    </font>
    <font>
      <b/>
      <i/>
      <sz val="36"/>
      <color rgb="FFFFC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3" tint="-0.249977111117893"/>
      <name val="Calibri"/>
      <family val="2"/>
      <scheme val="minor"/>
    </font>
    <font>
      <b/>
      <i/>
      <sz val="26"/>
      <color rgb="FF00B05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i/>
      <sz val="28"/>
      <color rgb="FF00B050"/>
      <name val="Calibri"/>
      <family val="2"/>
      <scheme val="minor"/>
    </font>
    <font>
      <b/>
      <sz val="48"/>
      <color rgb="FF00B050"/>
      <name val="Calibri"/>
      <family val="2"/>
      <scheme val="minor"/>
    </font>
    <font>
      <b/>
      <sz val="36"/>
      <color theme="3" tint="-0.249977111117893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72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36"/>
      <color rgb="FF002060"/>
      <name val="Calibri"/>
      <family val="2"/>
      <scheme val="minor"/>
    </font>
    <font>
      <i/>
      <sz val="48"/>
      <color theme="1"/>
      <name val="AngryBirds"/>
    </font>
    <font>
      <b/>
      <i/>
      <sz val="48"/>
      <color rgb="FFFFC000"/>
      <name val="Calibri"/>
      <family val="2"/>
      <scheme val="minor"/>
    </font>
    <font>
      <b/>
      <i/>
      <sz val="26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28"/>
      <color rgb="FF0070C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84"/>
      <color rgb="FFFF0000"/>
      <name val="Arial"/>
      <family val="2"/>
    </font>
    <font>
      <i/>
      <sz val="84"/>
      <color rgb="FFFF0000"/>
      <name val="Arial"/>
      <family val="2"/>
    </font>
    <font>
      <b/>
      <i/>
      <sz val="84"/>
      <color theme="3"/>
      <name val="Arial"/>
      <family val="2"/>
    </font>
    <font>
      <b/>
      <sz val="24"/>
      <color rgb="FFFF0000"/>
      <name val="Calibri"/>
      <family val="2"/>
      <scheme val="minor"/>
    </font>
    <font>
      <b/>
      <sz val="24"/>
      <color rgb="FF0070C0"/>
      <name val="Calibri"/>
      <family val="2"/>
      <scheme val="minor"/>
    </font>
    <font>
      <b/>
      <sz val="24"/>
      <name val="Calibri"/>
      <family val="2"/>
      <scheme val="minor"/>
    </font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0"/>
        <bgColor rgb="FFFFFFFF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9" fontId="29" fillId="3" borderId="11" applyAlignment="0" applyProtection="0"/>
    <xf numFmtId="0" fontId="74" fillId="0" borderId="0"/>
    <xf numFmtId="49" fontId="74" fillId="6" borderId="11" applyProtection="0"/>
    <xf numFmtId="49" fontId="74" fillId="3" borderId="11" applyAlignment="0" applyProtection="0"/>
  </cellStyleXfs>
  <cellXfs count="178">
    <xf numFmtId="0" fontId="0" fillId="0" borderId="0" xfId="0"/>
    <xf numFmtId="0" fontId="2" fillId="2" borderId="0" xfId="0" applyFont="1" applyFill="1" applyBorder="1" applyAlignment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/>
    <xf numFmtId="0" fontId="0" fillId="0" borderId="0" xfId="0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3" fillId="0" borderId="0" xfId="0" quotePrefix="1" applyFont="1" applyFill="1" applyAlignment="1">
      <alignment horizontal="center" vertical="top"/>
    </xf>
    <xf numFmtId="0" fontId="11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 wrapText="1"/>
    </xf>
    <xf numFmtId="0" fontId="12" fillId="0" borderId="0" xfId="0" applyFont="1" applyFill="1" applyAlignment="1">
      <alignment vertical="top" wrapText="1"/>
    </xf>
    <xf numFmtId="0" fontId="13" fillId="0" borderId="0" xfId="0" applyFont="1" applyFill="1" applyAlignment="1">
      <alignment vertical="center" wrapText="1"/>
    </xf>
    <xf numFmtId="0" fontId="15" fillId="0" borderId="0" xfId="0" applyFont="1" applyFill="1" applyAlignment="1">
      <alignment vertical="center" wrapText="1"/>
    </xf>
    <xf numFmtId="0" fontId="16" fillId="0" borderId="0" xfId="0" applyFont="1" applyAlignment="1">
      <alignment wrapText="1"/>
    </xf>
    <xf numFmtId="164" fontId="0" fillId="0" borderId="0" xfId="0" applyNumberFormat="1" applyFill="1" applyAlignment="1">
      <alignment horizontal="center"/>
    </xf>
    <xf numFmtId="0" fontId="21" fillId="0" borderId="0" xfId="0" applyFont="1" applyFill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/>
    <xf numFmtId="0" fontId="5" fillId="0" borderId="0" xfId="0" applyFont="1" applyFill="1" applyAlignment="1">
      <alignment horizontal="right" wrapText="1"/>
    </xf>
    <xf numFmtId="0" fontId="19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right" wrapText="1"/>
    </xf>
    <xf numFmtId="0" fontId="9" fillId="2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166" fontId="6" fillId="0" borderId="5" xfId="0" applyNumberFormat="1" applyFont="1" applyFill="1" applyBorder="1" applyAlignment="1">
      <alignment horizontal="left" vertical="top" wrapText="1"/>
    </xf>
    <xf numFmtId="166" fontId="6" fillId="0" borderId="0" xfId="0" applyNumberFormat="1" applyFont="1" applyFill="1" applyAlignment="1">
      <alignment horizontal="left" vertical="top" wrapText="1"/>
    </xf>
    <xf numFmtId="166" fontId="15" fillId="0" borderId="5" xfId="0" applyNumberFormat="1" applyFont="1" applyFill="1" applyBorder="1" applyAlignment="1">
      <alignment horizontal="center" vertical="top" wrapText="1"/>
    </xf>
    <xf numFmtId="166" fontId="15" fillId="0" borderId="0" xfId="0" applyNumberFormat="1" applyFont="1" applyFill="1" applyAlignment="1">
      <alignment horizontal="center" vertical="top" wrapText="1"/>
    </xf>
    <xf numFmtId="0" fontId="0" fillId="4" borderId="0" xfId="0" applyFill="1"/>
    <xf numFmtId="0" fontId="33" fillId="0" borderId="0" xfId="0" applyFont="1" applyFill="1" applyAlignment="1">
      <alignment wrapText="1"/>
    </xf>
    <xf numFmtId="0" fontId="33" fillId="0" borderId="0" xfId="0" applyFont="1" applyFill="1"/>
    <xf numFmtId="166" fontId="33" fillId="0" borderId="0" xfId="0" applyNumberFormat="1" applyFont="1" applyFill="1"/>
    <xf numFmtId="0" fontId="33" fillId="0" borderId="0" xfId="0" applyFont="1" applyFill="1" applyAlignment="1"/>
    <xf numFmtId="0" fontId="33" fillId="0" borderId="0" xfId="0" applyFont="1" applyFill="1" applyAlignment="1">
      <alignment vertical="center"/>
    </xf>
    <xf numFmtId="0" fontId="33" fillId="0" borderId="0" xfId="0" applyFont="1" applyFill="1" applyAlignment="1">
      <alignment vertical="center" wrapText="1"/>
    </xf>
    <xf numFmtId="49" fontId="33" fillId="0" borderId="0" xfId="0" applyNumberFormat="1" applyFont="1" applyFill="1" applyAlignment="1">
      <alignment vertical="center"/>
    </xf>
    <xf numFmtId="0" fontId="33" fillId="0" borderId="0" xfId="0" applyNumberFormat="1" applyFont="1" applyFill="1" applyAlignment="1">
      <alignment vertical="center"/>
    </xf>
    <xf numFmtId="166" fontId="33" fillId="0" borderId="0" xfId="0" applyNumberFormat="1" applyFont="1" applyFill="1" applyAlignment="1">
      <alignment vertical="center"/>
    </xf>
    <xf numFmtId="0" fontId="33" fillId="0" borderId="0" xfId="0" applyNumberFormat="1" applyFont="1" applyFill="1" applyAlignment="1">
      <alignment wrapText="1"/>
    </xf>
    <xf numFmtId="0" fontId="33" fillId="0" borderId="0" xfId="0" applyNumberFormat="1" applyFont="1" applyFill="1"/>
    <xf numFmtId="1" fontId="33" fillId="0" borderId="0" xfId="0" applyNumberFormat="1" applyFont="1" applyFill="1"/>
    <xf numFmtId="0" fontId="34" fillId="2" borderId="0" xfId="0" applyFont="1" applyFill="1" applyAlignment="1">
      <alignment wrapText="1"/>
    </xf>
    <xf numFmtId="49" fontId="32" fillId="0" borderId="0" xfId="0" applyNumberFormat="1" applyFont="1"/>
    <xf numFmtId="0" fontId="32" fillId="0" borderId="0" xfId="0" applyFont="1" applyAlignment="1">
      <alignment wrapText="1"/>
    </xf>
    <xf numFmtId="0" fontId="32" fillId="0" borderId="0" xfId="0" applyFont="1"/>
    <xf numFmtId="49" fontId="32" fillId="0" borderId="0" xfId="0" quotePrefix="1" applyNumberFormat="1" applyFont="1"/>
    <xf numFmtId="0" fontId="32" fillId="0" borderId="2" xfId="0" applyFont="1" applyBorder="1"/>
    <xf numFmtId="0" fontId="32" fillId="0" borderId="3" xfId="0" applyFont="1" applyBorder="1"/>
    <xf numFmtId="0" fontId="32" fillId="0" borderId="4" xfId="0" applyFont="1" applyBorder="1"/>
    <xf numFmtId="0" fontId="32" fillId="0" borderId="5" xfId="0" applyFont="1" applyBorder="1"/>
    <xf numFmtId="0" fontId="32" fillId="0" borderId="0" xfId="0" applyFont="1" applyBorder="1"/>
    <xf numFmtId="0" fontId="32" fillId="0" borderId="6" xfId="0" applyFont="1" applyBorder="1"/>
    <xf numFmtId="0" fontId="32" fillId="0" borderId="7" xfId="0" applyFont="1" applyBorder="1"/>
    <xf numFmtId="0" fontId="32" fillId="0" borderId="8" xfId="0" applyFont="1" applyBorder="1"/>
    <xf numFmtId="0" fontId="32" fillId="0" borderId="9" xfId="0" applyFont="1" applyBorder="1"/>
    <xf numFmtId="0" fontId="32" fillId="0" borderId="13" xfId="0" applyFont="1" applyBorder="1"/>
    <xf numFmtId="0" fontId="32" fillId="0" borderId="14" xfId="0" applyFont="1" applyBorder="1"/>
    <xf numFmtId="0" fontId="32" fillId="0" borderId="15" xfId="0" applyFont="1" applyBorder="1"/>
    <xf numFmtId="0" fontId="32" fillId="0" borderId="16" xfId="0" applyFont="1" applyBorder="1"/>
    <xf numFmtId="0" fontId="32" fillId="0" borderId="17" xfId="0" applyFont="1" applyBorder="1"/>
    <xf numFmtId="0" fontId="32" fillId="0" borderId="18" xfId="0" applyFont="1" applyBorder="1"/>
    <xf numFmtId="0" fontId="32" fillId="0" borderId="19" xfId="0" applyFont="1" applyBorder="1"/>
    <xf numFmtId="0" fontId="32" fillId="0" borderId="20" xfId="0" applyFont="1" applyBorder="1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wrapText="1"/>
    </xf>
    <xf numFmtId="0" fontId="10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35" fillId="0" borderId="1" xfId="0" applyFont="1" applyFill="1" applyBorder="1" applyAlignment="1">
      <alignment horizontal="center" vertical="center" wrapText="1" shrinkToFit="1"/>
    </xf>
    <xf numFmtId="0" fontId="36" fillId="0" borderId="0" xfId="0" applyFont="1" applyFill="1"/>
    <xf numFmtId="0" fontId="37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165" fontId="7" fillId="0" borderId="1" xfId="0" applyNumberFormat="1" applyFont="1" applyFill="1" applyBorder="1" applyAlignment="1">
      <alignment horizontal="center" vertical="center"/>
    </xf>
    <xf numFmtId="0" fontId="36" fillId="0" borderId="0" xfId="0" applyFont="1" applyFill="1" applyAlignment="1">
      <alignment horizontal="center"/>
    </xf>
    <xf numFmtId="0" fontId="36" fillId="0" borderId="0" xfId="0" applyFont="1" applyFill="1" applyAlignment="1">
      <alignment horizontal="center" vertical="center"/>
    </xf>
    <xf numFmtId="0" fontId="7" fillId="0" borderId="12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2" fillId="0" borderId="0" xfId="0" applyFont="1" applyFill="1" applyAlignment="1">
      <alignment horizontal="center" vertical="center"/>
    </xf>
    <xf numFmtId="0" fontId="40" fillId="0" borderId="0" xfId="0" applyFont="1" applyAlignment="1">
      <alignment vertical="center"/>
    </xf>
    <xf numFmtId="0" fontId="43" fillId="0" borderId="2" xfId="0" applyFont="1" applyFill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 shrinkToFit="1"/>
    </xf>
    <xf numFmtId="0" fontId="44" fillId="2" borderId="0" xfId="0" applyFont="1" applyFill="1" applyBorder="1" applyAlignment="1"/>
    <xf numFmtId="0" fontId="0" fillId="2" borderId="0" xfId="0" applyFont="1" applyFill="1" applyBorder="1" applyAlignment="1"/>
    <xf numFmtId="0" fontId="45" fillId="2" borderId="0" xfId="0" applyFont="1" applyFill="1" applyAlignment="1"/>
    <xf numFmtId="0" fontId="0" fillId="2" borderId="0" xfId="0" applyFont="1" applyFill="1" applyAlignment="1">
      <alignment wrapText="1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/>
    <xf numFmtId="0" fontId="46" fillId="2" borderId="2" xfId="0" applyFont="1" applyFill="1" applyBorder="1" applyAlignment="1">
      <alignment horizontal="center" vertical="center" wrapText="1"/>
    </xf>
    <xf numFmtId="0" fontId="47" fillId="0" borderId="1" xfId="0" applyFont="1" applyFill="1" applyBorder="1" applyAlignment="1">
      <alignment horizontal="center" vertical="center" wrapText="1"/>
    </xf>
    <xf numFmtId="0" fontId="48" fillId="2" borderId="0" xfId="0" applyFont="1" applyFill="1" applyAlignment="1">
      <alignment horizontal="right" wrapText="1"/>
    </xf>
    <xf numFmtId="0" fontId="49" fillId="2" borderId="1" xfId="0" applyFont="1" applyFill="1" applyBorder="1" applyAlignment="1">
      <alignment horizontal="center" vertical="center" wrapText="1"/>
    </xf>
    <xf numFmtId="0" fontId="51" fillId="2" borderId="0" xfId="0" applyFont="1" applyFill="1" applyAlignment="1">
      <alignment horizontal="right"/>
    </xf>
    <xf numFmtId="0" fontId="52" fillId="0" borderId="0" xfId="0" applyFont="1"/>
    <xf numFmtId="0" fontId="0" fillId="2" borderId="0" xfId="0" applyFont="1" applyFill="1" applyBorder="1" applyAlignment="1">
      <alignment wrapText="1"/>
    </xf>
    <xf numFmtId="0" fontId="53" fillId="2" borderId="0" xfId="0" applyFont="1" applyFill="1" applyAlignment="1">
      <alignment horizontal="left" vertical="center"/>
    </xf>
    <xf numFmtId="0" fontId="54" fillId="2" borderId="0" xfId="0" applyFont="1" applyFill="1" applyAlignment="1">
      <alignment horizontal="right" vertical="center" wrapText="1"/>
    </xf>
    <xf numFmtId="165" fontId="54" fillId="2" borderId="0" xfId="0" applyNumberFormat="1" applyFont="1" applyFill="1" applyBorder="1" applyAlignment="1">
      <alignment horizontal="right" vertical="center"/>
    </xf>
    <xf numFmtId="0" fontId="20" fillId="2" borderId="1" xfId="0" applyFont="1" applyFill="1" applyBorder="1" applyAlignment="1">
      <alignment horizontal="center" vertical="center" wrapText="1"/>
    </xf>
    <xf numFmtId="0" fontId="57" fillId="0" borderId="0" xfId="0" applyFont="1" applyFill="1" applyAlignment="1">
      <alignment horizontal="center"/>
    </xf>
    <xf numFmtId="0" fontId="58" fillId="0" borderId="0" xfId="0" applyFont="1" applyFill="1" applyAlignment="1">
      <alignment horizontal="left" vertical="center"/>
    </xf>
    <xf numFmtId="0" fontId="0" fillId="0" borderId="0" xfId="0" applyFont="1" applyAlignment="1">
      <alignment horizontal="left"/>
    </xf>
    <xf numFmtId="167" fontId="50" fillId="2" borderId="1" xfId="0" applyNumberFormat="1" applyFont="1" applyFill="1" applyBorder="1" applyAlignment="1">
      <alignment horizontal="center" vertical="center"/>
    </xf>
    <xf numFmtId="0" fontId="32" fillId="5" borderId="0" xfId="0" applyFont="1" applyFill="1"/>
    <xf numFmtId="49" fontId="32" fillId="5" borderId="0" xfId="0" quotePrefix="1" applyNumberFormat="1" applyFont="1" applyFill="1"/>
    <xf numFmtId="49" fontId="32" fillId="5" borderId="0" xfId="0" applyNumberFormat="1" applyFont="1" applyFill="1"/>
    <xf numFmtId="0" fontId="32" fillId="0" borderId="0" xfId="0" applyFont="1" applyFill="1"/>
    <xf numFmtId="49" fontId="32" fillId="0" borderId="0" xfId="0" quotePrefix="1" applyNumberFormat="1" applyFont="1" applyFill="1"/>
    <xf numFmtId="49" fontId="32" fillId="0" borderId="0" xfId="0" applyNumberFormat="1" applyFont="1" applyFill="1"/>
    <xf numFmtId="0" fontId="56" fillId="2" borderId="0" xfId="0" applyFont="1" applyFill="1" applyBorder="1" applyAlignment="1"/>
    <xf numFmtId="0" fontId="56" fillId="2" borderId="0" xfId="0" applyFont="1" applyFill="1" applyAlignment="1">
      <alignment wrapText="1"/>
    </xf>
    <xf numFmtId="0" fontId="60" fillId="2" borderId="0" xfId="0" applyFont="1" applyFill="1" applyBorder="1" applyAlignment="1"/>
    <xf numFmtId="0" fontId="60" fillId="2" borderId="0" xfId="0" applyFont="1" applyFill="1" applyAlignment="1">
      <alignment wrapText="1"/>
    </xf>
    <xf numFmtId="167" fontId="56" fillId="2" borderId="0" xfId="0" applyNumberFormat="1" applyFont="1" applyFill="1" applyBorder="1" applyAlignment="1"/>
    <xf numFmtId="0" fontId="56" fillId="2" borderId="0" xfId="0" applyFont="1" applyFill="1" applyBorder="1" applyAlignment="1">
      <alignment wrapText="1"/>
    </xf>
    <xf numFmtId="166" fontId="56" fillId="2" borderId="0" xfId="0" applyNumberFormat="1" applyFont="1" applyFill="1" applyBorder="1" applyAlignment="1">
      <alignment wrapText="1"/>
    </xf>
    <xf numFmtId="167" fontId="10" fillId="2" borderId="1" xfId="0" applyNumberFormat="1" applyFont="1" applyFill="1" applyBorder="1" applyAlignment="1">
      <alignment horizontal="center" vertical="center"/>
    </xf>
    <xf numFmtId="0" fontId="61" fillId="2" borderId="0" xfId="0" applyFont="1" applyFill="1" applyAlignment="1">
      <alignment wrapText="1"/>
    </xf>
    <xf numFmtId="0" fontId="2" fillId="2" borderId="0" xfId="0" applyFont="1" applyFill="1" applyAlignment="1">
      <alignment wrapText="1"/>
    </xf>
    <xf numFmtId="167" fontId="33" fillId="0" borderId="0" xfId="0" applyNumberFormat="1" applyFont="1" applyFill="1" applyAlignment="1">
      <alignment vertical="center"/>
    </xf>
    <xf numFmtId="166" fontId="36" fillId="0" borderId="0" xfId="0" applyNumberFormat="1" applyFont="1" applyFill="1"/>
    <xf numFmtId="0" fontId="36" fillId="0" borderId="0" xfId="0" applyNumberFormat="1" applyFont="1" applyFill="1"/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69" fontId="33" fillId="0" borderId="0" xfId="0" applyNumberFormat="1" applyFont="1" applyFill="1"/>
    <xf numFmtId="170" fontId="0" fillId="0" borderId="0" xfId="0" applyNumberFormat="1"/>
    <xf numFmtId="0" fontId="36" fillId="0" borderId="0" xfId="0" applyFont="1"/>
    <xf numFmtId="0" fontId="62" fillId="0" borderId="0" xfId="0" applyFont="1"/>
    <xf numFmtId="0" fontId="63" fillId="0" borderId="0" xfId="0" applyFont="1"/>
    <xf numFmtId="170" fontId="36" fillId="0" borderId="0" xfId="0" applyNumberFormat="1" applyFont="1"/>
    <xf numFmtId="0" fontId="64" fillId="0" borderId="0" xfId="0" applyFont="1"/>
    <xf numFmtId="0" fontId="49" fillId="0" borderId="1" xfId="0" applyFont="1" applyBorder="1"/>
    <xf numFmtId="0" fontId="65" fillId="0" borderId="1" xfId="0" applyFont="1" applyBorder="1"/>
    <xf numFmtId="0" fontId="66" fillId="0" borderId="0" xfId="0" applyFont="1" applyAlignment="1">
      <alignment horizontal="right"/>
    </xf>
    <xf numFmtId="0" fontId="66" fillId="0" borderId="0" xfId="0" applyFont="1"/>
    <xf numFmtId="0" fontId="49" fillId="0" borderId="6" xfId="0" applyFont="1" applyBorder="1" applyAlignment="1">
      <alignment horizontal="right"/>
    </xf>
    <xf numFmtId="0" fontId="65" fillId="0" borderId="6" xfId="0" applyFont="1" applyBorder="1" applyAlignment="1">
      <alignment horizontal="right"/>
    </xf>
    <xf numFmtId="0" fontId="67" fillId="0" borderId="0" xfId="0" applyFont="1"/>
    <xf numFmtId="0" fontId="63" fillId="0" borderId="0" xfId="0" applyFont="1" applyAlignment="1">
      <alignment horizontal="right"/>
    </xf>
    <xf numFmtId="0" fontId="71" fillId="0" borderId="0" xfId="0" applyFont="1"/>
    <xf numFmtId="0" fontId="72" fillId="0" borderId="0" xfId="0" applyFont="1" applyAlignment="1">
      <alignment horizontal="right"/>
    </xf>
    <xf numFmtId="0" fontId="72" fillId="0" borderId="0" xfId="0" applyFont="1"/>
    <xf numFmtId="0" fontId="66" fillId="0" borderId="21" xfId="0" applyFont="1" applyBorder="1"/>
    <xf numFmtId="0" fontId="73" fillId="0" borderId="21" xfId="0" applyFont="1" applyBorder="1"/>
    <xf numFmtId="0" fontId="0" fillId="0" borderId="0" xfId="0" applyFont="1"/>
    <xf numFmtId="171" fontId="0" fillId="0" borderId="0" xfId="0" applyNumberFormat="1" applyFont="1"/>
    <xf numFmtId="0" fontId="74" fillId="0" borderId="0" xfId="2"/>
    <xf numFmtId="171" fontId="74" fillId="0" borderId="0" xfId="2" applyNumberFormat="1"/>
    <xf numFmtId="0" fontId="74" fillId="0" borderId="0" xfId="2"/>
    <xf numFmtId="0" fontId="74" fillId="0" borderId="0" xfId="2" applyFill="1"/>
    <xf numFmtId="0" fontId="75" fillId="0" borderId="0" xfId="2" applyFont="1"/>
    <xf numFmtId="0" fontId="68" fillId="0" borderId="0" xfId="0" applyFont="1" applyFill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70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8" fillId="0" borderId="0" xfId="0" applyFont="1" applyAlignment="1">
      <alignment horizontal="center"/>
    </xf>
    <xf numFmtId="0" fontId="24" fillId="0" borderId="0" xfId="0" applyFont="1" applyFill="1" applyAlignment="1">
      <alignment vertical="center"/>
    </xf>
    <xf numFmtId="0" fontId="0" fillId="0" borderId="0" xfId="0" applyAlignment="1"/>
    <xf numFmtId="0" fontId="27" fillId="0" borderId="0" xfId="0" applyFont="1" applyFill="1" applyAlignment="1">
      <alignment vertical="center"/>
    </xf>
    <xf numFmtId="0" fontId="26" fillId="0" borderId="0" xfId="0" applyFont="1" applyAlignment="1"/>
    <xf numFmtId="0" fontId="60" fillId="2" borderId="0" xfId="0" applyFont="1" applyFill="1" applyBorder="1" applyAlignment="1"/>
    <xf numFmtId="0" fontId="60" fillId="0" borderId="0" xfId="0" applyFont="1" applyAlignment="1"/>
    <xf numFmtId="168" fontId="59" fillId="2" borderId="0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30" fillId="0" borderId="0" xfId="0" applyFont="1" applyFill="1" applyAlignment="1">
      <alignment horizontal="center" vertical="center" wrapText="1"/>
    </xf>
    <xf numFmtId="0" fontId="31" fillId="0" borderId="0" xfId="0" applyFont="1" applyFill="1" applyAlignment="1">
      <alignment horizontal="center" vertical="center"/>
    </xf>
    <xf numFmtId="0" fontId="41" fillId="0" borderId="0" xfId="0" applyFont="1" applyAlignment="1">
      <alignment vertical="center"/>
    </xf>
    <xf numFmtId="0" fontId="39" fillId="0" borderId="0" xfId="0" applyFont="1" applyFill="1" applyAlignment="1">
      <alignment horizontal="center" vertical="center" wrapText="1"/>
    </xf>
    <xf numFmtId="0" fontId="40" fillId="0" borderId="0" xfId="0" applyFont="1" applyAlignment="1">
      <alignment wrapText="1"/>
    </xf>
    <xf numFmtId="0" fontId="42" fillId="0" borderId="0" xfId="0" applyFont="1" applyFill="1" applyAlignment="1">
      <alignment horizontal="center" vertical="center"/>
    </xf>
    <xf numFmtId="0" fontId="40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5">
    <cellStyle name="Normal" xfId="0" builtinId="0"/>
    <cellStyle name="Normal 2" xfId="2"/>
    <cellStyle name="p::v Condition Cells" xfId="1"/>
    <cellStyle name="p::v Condition Cells 2" xfId="4"/>
    <cellStyle name="Texte explicatif 2" xfId="3"/>
  </cellStyles>
  <dxfs count="176">
    <dxf>
      <font>
        <color rgb="FFFF0000"/>
      </font>
    </dxf>
    <dxf>
      <font>
        <color rgb="FF0070C0"/>
      </font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gif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gif"/><Relationship Id="rId2" Type="http://schemas.microsoft.com/office/2007/relationships/hdphoto" Target="../media/hdphoto1.wdp"/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gif"/><Relationship Id="rId1" Type="http://schemas.openxmlformats.org/officeDocument/2006/relationships/image" Target="../media/image9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gif"/><Relationship Id="rId2" Type="http://schemas.microsoft.com/office/2007/relationships/hdphoto" Target="../media/hdphoto1.wdp"/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95250</xdr:colOff>
      <xdr:row>0</xdr:row>
      <xdr:rowOff>0</xdr:rowOff>
    </xdr:from>
    <xdr:ext cx="11289471" cy="2833697"/>
    <xdr:sp macro="" textlink="">
      <xdr:nvSpPr>
        <xdr:cNvPr id="2" name="Rectangle 1"/>
        <xdr:cNvSpPr/>
      </xdr:nvSpPr>
      <xdr:spPr>
        <a:xfrm>
          <a:off x="857250" y="0"/>
          <a:ext cx="11289471" cy="2833697"/>
        </a:xfrm>
        <a:prstGeom prst="rect">
          <a:avLst/>
        </a:prstGeom>
        <a:noFill/>
      </xdr:spPr>
      <xdr:txBody>
        <a:bodyPr wrap="none" lIns="0" tIns="0" rIns="0" bIns="0">
          <a:noAutofit/>
        </a:bodyPr>
        <a:lstStyle/>
        <a:p>
          <a:pPr algn="ctr"/>
          <a:r>
            <a:rPr lang="fr-FR" sz="9600" b="1" cap="none" spc="0">
              <a:ln w="18000">
                <a:solidFill>
                  <a:schemeClr val="tx2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ngryNerds" panose="02000500000000000000" pitchFamily="2" charset="0"/>
            </a:rPr>
            <a:t>Championnat</a:t>
          </a:r>
          <a:r>
            <a:rPr lang="fr-FR" sz="9600" b="1" cap="none" spc="0" baseline="0">
              <a:ln w="18000">
                <a:solidFill>
                  <a:schemeClr val="tx2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ngryNerds" panose="02000500000000000000" pitchFamily="2" charset="0"/>
            </a:rPr>
            <a:t> de France</a:t>
          </a:r>
        </a:p>
        <a:p>
          <a:pPr algn="ctr"/>
          <a:r>
            <a:rPr lang="fr-FR" sz="9600" b="1" cap="none" spc="0" baseline="0">
              <a:ln w="18000">
                <a:solidFill>
                  <a:schemeClr val="tx2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ngryNerds" panose="02000500000000000000" pitchFamily="2" charset="0"/>
            </a:rPr>
            <a:t>Interclubs</a:t>
          </a:r>
          <a:endParaRPr lang="fr-FR" sz="9600" b="1" cap="none" spc="0">
            <a:ln w="18000">
              <a:solidFill>
                <a:schemeClr val="tx2"/>
              </a:solidFill>
              <a:prstDash val="solid"/>
              <a:miter lim="800000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ngryNerds" panose="02000500000000000000" pitchFamily="2" charset="0"/>
          </a:endParaRPr>
        </a:p>
      </xdr:txBody>
    </xdr:sp>
    <xdr:clientData/>
  </xdr:oneCellAnchor>
  <xdr:twoCellAnchor editAs="oneCell">
    <xdr:from>
      <xdr:col>0</xdr:col>
      <xdr:colOff>261937</xdr:colOff>
      <xdr:row>22</xdr:row>
      <xdr:rowOff>0</xdr:rowOff>
    </xdr:from>
    <xdr:to>
      <xdr:col>2</xdr:col>
      <xdr:colOff>333374</xdr:colOff>
      <xdr:row>31</xdr:row>
      <xdr:rowOff>98497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4191000"/>
          <a:ext cx="1595437" cy="1812997"/>
        </a:xfrm>
        <a:prstGeom prst="rect">
          <a:avLst/>
        </a:prstGeom>
      </xdr:spPr>
    </xdr:pic>
    <xdr:clientData/>
  </xdr:twoCellAnchor>
  <xdr:oneCellAnchor>
    <xdr:from>
      <xdr:col>7</xdr:col>
      <xdr:colOff>405972</xdr:colOff>
      <xdr:row>21</xdr:row>
      <xdr:rowOff>90121</xdr:rowOff>
    </xdr:from>
    <xdr:ext cx="1569660" cy="1478546"/>
    <xdr:sp macro="" textlink="">
      <xdr:nvSpPr>
        <xdr:cNvPr id="4" name="Rectangle 3"/>
        <xdr:cNvSpPr/>
      </xdr:nvSpPr>
      <xdr:spPr>
        <a:xfrm>
          <a:off x="5739972" y="4090621"/>
          <a:ext cx="1569660" cy="147854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9600" b="1" cap="none" spc="0" baseline="0">
              <a:ln w="18000">
                <a:solidFill>
                  <a:schemeClr val="tx2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ngryNerds" panose="02000500000000000000" pitchFamily="2" charset="0"/>
            </a:rPr>
            <a:t>VS</a:t>
          </a:r>
        </a:p>
      </xdr:txBody>
    </xdr:sp>
    <xdr:clientData/>
  </xdr:oneCellAnchor>
  <xdr:twoCellAnchor editAs="oneCell">
    <xdr:from>
      <xdr:col>13</xdr:col>
      <xdr:colOff>414337</xdr:colOff>
      <xdr:row>22</xdr:row>
      <xdr:rowOff>0</xdr:rowOff>
    </xdr:from>
    <xdr:to>
      <xdr:col>15</xdr:col>
      <xdr:colOff>485774</xdr:colOff>
      <xdr:row>31</xdr:row>
      <xdr:rowOff>98497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0337" y="4191000"/>
          <a:ext cx="1595437" cy="181299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47</xdr:row>
      <xdr:rowOff>173184</xdr:rowOff>
    </xdr:from>
    <xdr:to>
      <xdr:col>14</xdr:col>
      <xdr:colOff>554181</xdr:colOff>
      <xdr:row>48</xdr:row>
      <xdr:rowOff>2</xdr:rowOff>
    </xdr:to>
    <xdr:cxnSp macro="">
      <xdr:nvCxnSpPr>
        <xdr:cNvPr id="6" name="Connecteur droit 5"/>
        <xdr:cNvCxnSpPr/>
      </xdr:nvCxnSpPr>
      <xdr:spPr>
        <a:xfrm flipV="1">
          <a:off x="0" y="9126684"/>
          <a:ext cx="11222181" cy="173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22</xdr:row>
      <xdr:rowOff>103910</xdr:rowOff>
    </xdr:from>
    <xdr:to>
      <xdr:col>6</xdr:col>
      <xdr:colOff>106574</xdr:colOff>
      <xdr:row>31</xdr:row>
      <xdr:rowOff>121228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294910"/>
          <a:ext cx="2392574" cy="1731818"/>
        </a:xfrm>
        <a:prstGeom prst="rect">
          <a:avLst/>
        </a:prstGeom>
      </xdr:spPr>
    </xdr:pic>
    <xdr:clientData/>
  </xdr:twoCellAnchor>
  <xdr:twoCellAnchor editAs="oneCell">
    <xdr:from>
      <xdr:col>9</xdr:col>
      <xdr:colOff>671892</xdr:colOff>
      <xdr:row>22</xdr:row>
      <xdr:rowOff>117766</xdr:rowOff>
    </xdr:from>
    <xdr:to>
      <xdr:col>13</xdr:col>
      <xdr:colOff>16466</xdr:colOff>
      <xdr:row>31</xdr:row>
      <xdr:rowOff>135084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9892" y="4308766"/>
          <a:ext cx="2392574" cy="1731818"/>
        </a:xfrm>
        <a:prstGeom prst="rect">
          <a:avLst/>
        </a:prstGeom>
      </xdr:spPr>
    </xdr:pic>
    <xdr:clientData/>
  </xdr:twoCellAnchor>
  <xdr:twoCellAnchor editAs="oneCell">
    <xdr:from>
      <xdr:col>0</xdr:col>
      <xdr:colOff>86604</xdr:colOff>
      <xdr:row>37</xdr:row>
      <xdr:rowOff>173183</xdr:rowOff>
    </xdr:from>
    <xdr:to>
      <xdr:col>4</xdr:col>
      <xdr:colOff>2497</xdr:colOff>
      <xdr:row>47</xdr:row>
      <xdr:rowOff>176183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04" y="7221683"/>
          <a:ext cx="2963893" cy="1908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38</xdr:row>
      <xdr:rowOff>17326</xdr:rowOff>
    </xdr:from>
    <xdr:to>
      <xdr:col>15</xdr:col>
      <xdr:colOff>677893</xdr:colOff>
      <xdr:row>48</xdr:row>
      <xdr:rowOff>20326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7256326"/>
          <a:ext cx="2963893" cy="19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34687</xdr:colOff>
      <xdr:row>40</xdr:row>
      <xdr:rowOff>34644</xdr:rowOff>
    </xdr:from>
    <xdr:to>
      <xdr:col>11</xdr:col>
      <xdr:colOff>85169</xdr:colOff>
      <xdr:row>46</xdr:row>
      <xdr:rowOff>85127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6687" y="7654644"/>
          <a:ext cx="3860482" cy="1193483"/>
        </a:xfrm>
        <a:prstGeom prst="rect">
          <a:avLst/>
        </a:prstGeom>
      </xdr:spPr>
    </xdr:pic>
    <xdr:clientData/>
  </xdr:twoCellAnchor>
  <xdr:twoCellAnchor editAs="oneCell">
    <xdr:from>
      <xdr:col>12</xdr:col>
      <xdr:colOff>398255</xdr:colOff>
      <xdr:row>6</xdr:row>
      <xdr:rowOff>34572</xdr:rowOff>
    </xdr:from>
    <xdr:to>
      <xdr:col>15</xdr:col>
      <xdr:colOff>484933</xdr:colOff>
      <xdr:row>14</xdr:row>
      <xdr:rowOff>151253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2255" y="1177572"/>
          <a:ext cx="2372678" cy="1640681"/>
        </a:xfrm>
        <a:prstGeom prst="rect">
          <a:avLst/>
        </a:prstGeom>
      </xdr:spPr>
    </xdr:pic>
    <xdr:clientData/>
  </xdr:twoCellAnchor>
  <xdr:twoCellAnchor editAs="oneCell">
    <xdr:from>
      <xdr:col>1</xdr:col>
      <xdr:colOff>34636</xdr:colOff>
      <xdr:row>6</xdr:row>
      <xdr:rowOff>34634</xdr:rowOff>
    </xdr:from>
    <xdr:to>
      <xdr:col>3</xdr:col>
      <xdr:colOff>354676</xdr:colOff>
      <xdr:row>15</xdr:row>
      <xdr:rowOff>164174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636" y="1177634"/>
          <a:ext cx="1844040" cy="18440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95250</xdr:colOff>
      <xdr:row>0</xdr:row>
      <xdr:rowOff>0</xdr:rowOff>
    </xdr:from>
    <xdr:ext cx="11289471" cy="2833697"/>
    <xdr:sp macro="" textlink="">
      <xdr:nvSpPr>
        <xdr:cNvPr id="5" name="Rectangle 4"/>
        <xdr:cNvSpPr/>
      </xdr:nvSpPr>
      <xdr:spPr>
        <a:xfrm>
          <a:off x="857250" y="41121"/>
          <a:ext cx="11289471" cy="2833697"/>
        </a:xfrm>
        <a:prstGeom prst="rect">
          <a:avLst/>
        </a:prstGeom>
        <a:noFill/>
      </xdr:spPr>
      <xdr:txBody>
        <a:bodyPr wrap="none" lIns="0" tIns="0" rIns="0" bIns="0">
          <a:noAutofit/>
        </a:bodyPr>
        <a:lstStyle/>
        <a:p>
          <a:pPr algn="ctr"/>
          <a:r>
            <a:rPr lang="fr-FR" sz="9600" b="1" cap="none" spc="0">
              <a:ln w="18000">
                <a:solidFill>
                  <a:schemeClr val="tx2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ngryNerds" panose="02000500000000000000" pitchFamily="2" charset="0"/>
            </a:rPr>
            <a:t>Championnat</a:t>
          </a:r>
          <a:r>
            <a:rPr lang="fr-FR" sz="9600" b="1" cap="none" spc="0" baseline="0">
              <a:ln w="18000">
                <a:solidFill>
                  <a:schemeClr val="tx2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ngryNerds" panose="02000500000000000000" pitchFamily="2" charset="0"/>
            </a:rPr>
            <a:t> de France</a:t>
          </a:r>
        </a:p>
        <a:p>
          <a:pPr algn="ctr"/>
          <a:r>
            <a:rPr lang="fr-FR" sz="9600" b="1" cap="none" spc="0" baseline="0">
              <a:ln w="18000">
                <a:solidFill>
                  <a:schemeClr val="tx2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ngryNerds" panose="02000500000000000000" pitchFamily="2" charset="0"/>
            </a:rPr>
            <a:t>Interclubs</a:t>
          </a:r>
          <a:endParaRPr lang="fr-FR" sz="9600" b="1" cap="none" spc="0">
            <a:ln w="18000">
              <a:solidFill>
                <a:schemeClr val="tx2"/>
              </a:solidFill>
              <a:prstDash val="solid"/>
              <a:miter lim="800000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ngryNerds" panose="02000500000000000000" pitchFamily="2" charset="0"/>
          </a:endParaRPr>
        </a:p>
      </xdr:txBody>
    </xdr:sp>
    <xdr:clientData/>
  </xdr:oneCellAnchor>
  <xdr:twoCellAnchor editAs="oneCell">
    <xdr:from>
      <xdr:col>0</xdr:col>
      <xdr:colOff>261937</xdr:colOff>
      <xdr:row>22</xdr:row>
      <xdr:rowOff>0</xdr:rowOff>
    </xdr:from>
    <xdr:to>
      <xdr:col>2</xdr:col>
      <xdr:colOff>333374</xdr:colOff>
      <xdr:row>31</xdr:row>
      <xdr:rowOff>98497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4567263"/>
          <a:ext cx="1595437" cy="1812997"/>
        </a:xfrm>
        <a:prstGeom prst="rect">
          <a:avLst/>
        </a:prstGeom>
      </xdr:spPr>
    </xdr:pic>
    <xdr:clientData/>
  </xdr:twoCellAnchor>
  <xdr:oneCellAnchor>
    <xdr:from>
      <xdr:col>7</xdr:col>
      <xdr:colOff>405972</xdr:colOff>
      <xdr:row>21</xdr:row>
      <xdr:rowOff>90121</xdr:rowOff>
    </xdr:from>
    <xdr:ext cx="1569660" cy="1478546"/>
    <xdr:sp macro="" textlink="">
      <xdr:nvSpPr>
        <xdr:cNvPr id="9" name="Rectangle 8"/>
        <xdr:cNvSpPr/>
      </xdr:nvSpPr>
      <xdr:spPr>
        <a:xfrm>
          <a:off x="5739972" y="4090621"/>
          <a:ext cx="1569660" cy="147854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9600" b="1" cap="none" spc="0" baseline="0">
              <a:ln w="18000">
                <a:solidFill>
                  <a:schemeClr val="tx2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ngryNerds" panose="02000500000000000000" pitchFamily="2" charset="0"/>
            </a:rPr>
            <a:t>VS</a:t>
          </a:r>
        </a:p>
      </xdr:txBody>
    </xdr:sp>
    <xdr:clientData/>
  </xdr:oneCellAnchor>
  <xdr:twoCellAnchor editAs="oneCell">
    <xdr:from>
      <xdr:col>13</xdr:col>
      <xdr:colOff>414337</xdr:colOff>
      <xdr:row>22</xdr:row>
      <xdr:rowOff>0</xdr:rowOff>
    </xdr:from>
    <xdr:to>
      <xdr:col>15</xdr:col>
      <xdr:colOff>485774</xdr:colOff>
      <xdr:row>31</xdr:row>
      <xdr:rowOff>98497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0337" y="4505350"/>
          <a:ext cx="1595437" cy="181299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47</xdr:row>
      <xdr:rowOff>173184</xdr:rowOff>
    </xdr:from>
    <xdr:to>
      <xdr:col>14</xdr:col>
      <xdr:colOff>554181</xdr:colOff>
      <xdr:row>48</xdr:row>
      <xdr:rowOff>2</xdr:rowOff>
    </xdr:to>
    <xdr:cxnSp macro="">
      <xdr:nvCxnSpPr>
        <xdr:cNvPr id="3" name="Connecteur droit 2"/>
        <xdr:cNvCxnSpPr/>
      </xdr:nvCxnSpPr>
      <xdr:spPr>
        <a:xfrm flipV="1">
          <a:off x="0" y="9507684"/>
          <a:ext cx="11222181" cy="173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22</xdr:row>
      <xdr:rowOff>103910</xdr:rowOff>
    </xdr:from>
    <xdr:to>
      <xdr:col>6</xdr:col>
      <xdr:colOff>106574</xdr:colOff>
      <xdr:row>31</xdr:row>
      <xdr:rowOff>121228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675910"/>
          <a:ext cx="2392574" cy="1731818"/>
        </a:xfrm>
        <a:prstGeom prst="rect">
          <a:avLst/>
        </a:prstGeom>
      </xdr:spPr>
    </xdr:pic>
    <xdr:clientData/>
  </xdr:twoCellAnchor>
  <xdr:twoCellAnchor editAs="oneCell">
    <xdr:from>
      <xdr:col>9</xdr:col>
      <xdr:colOff>671892</xdr:colOff>
      <xdr:row>22</xdr:row>
      <xdr:rowOff>117766</xdr:rowOff>
    </xdr:from>
    <xdr:to>
      <xdr:col>13</xdr:col>
      <xdr:colOff>16466</xdr:colOff>
      <xdr:row>31</xdr:row>
      <xdr:rowOff>135084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9892" y="4689766"/>
          <a:ext cx="2392574" cy="17318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</xdr:row>
      <xdr:rowOff>54093</xdr:rowOff>
    </xdr:from>
    <xdr:ext cx="3409950" cy="924278"/>
    <xdr:sp macro="" textlink="Réservé!N11">
      <xdr:nvSpPr>
        <xdr:cNvPr id="3" name="Rectangle 2"/>
        <xdr:cNvSpPr/>
      </xdr:nvSpPr>
      <xdr:spPr>
        <a:xfrm>
          <a:off x="0" y="1429926"/>
          <a:ext cx="3409950" cy="92427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fld id="{FBFA11A6-4904-4B9B-9681-9E4BDAB9BB12}" type="TxLink">
            <a:rPr lang="fr-FR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</a:rPr>
            <a:pPr algn="l"/>
            <a:t>#REF!</a:t>
          </a:fld>
          <a:endParaRPr lang="fr-FR" sz="2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+mn-lt"/>
          </a:endParaRPr>
        </a:p>
      </xdr:txBody>
    </xdr:sp>
    <xdr:clientData/>
  </xdr:oneCellAnchor>
  <xdr:oneCellAnchor>
    <xdr:from>
      <xdr:col>0</xdr:col>
      <xdr:colOff>0</xdr:colOff>
      <xdr:row>4</xdr:row>
      <xdr:rowOff>310445</xdr:rowOff>
    </xdr:from>
    <xdr:ext cx="6367638" cy="924278"/>
    <xdr:sp macro="" textlink="Réservé!N13">
      <xdr:nvSpPr>
        <xdr:cNvPr id="4" name="Rectangle 3"/>
        <xdr:cNvSpPr/>
      </xdr:nvSpPr>
      <xdr:spPr>
        <a:xfrm>
          <a:off x="0" y="2144889"/>
          <a:ext cx="6367638" cy="92427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fld id="{A0D847AF-BA2A-48E7-9B39-91A02650283D}" type="TxLink">
            <a:rPr lang="fr-FR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</a:rPr>
            <a:pPr algn="l"/>
            <a:t>#REF!</a:t>
          </a:fld>
          <a:endParaRPr lang="fr-FR" sz="2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+mn-lt"/>
          </a:endParaRPr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2610556" cy="924278"/>
    <xdr:sp macro="" textlink="Réservé!N15">
      <xdr:nvSpPr>
        <xdr:cNvPr id="5" name="Rectangle 4"/>
        <xdr:cNvSpPr/>
      </xdr:nvSpPr>
      <xdr:spPr>
        <a:xfrm>
          <a:off x="0" y="0"/>
          <a:ext cx="2610556" cy="92427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fld id="{8F606726-55E8-4430-9E8D-85E487BDF870}" type="TxLink">
            <a:rPr lang="fr-FR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</a:rPr>
            <a:pPr algn="l"/>
            <a:t>#REF!</a:t>
          </a:fld>
          <a:endParaRPr lang="fr-FR" sz="2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+mn-lt"/>
          </a:endParaRPr>
        </a:p>
      </xdr:txBody>
    </xdr:sp>
    <xdr:clientData/>
  </xdr:oneCellAnchor>
  <xdr:oneCellAnchor>
    <xdr:from>
      <xdr:col>0</xdr:col>
      <xdr:colOff>0</xdr:colOff>
      <xdr:row>1</xdr:row>
      <xdr:rowOff>256352</xdr:rowOff>
    </xdr:from>
    <xdr:ext cx="2171590" cy="924278"/>
    <xdr:sp macro="" textlink="Réservé!N17">
      <xdr:nvSpPr>
        <xdr:cNvPr id="6" name="Rectangle 5"/>
        <xdr:cNvSpPr/>
      </xdr:nvSpPr>
      <xdr:spPr>
        <a:xfrm>
          <a:off x="0" y="714963"/>
          <a:ext cx="2171590" cy="92427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fld id="{8F4EA9E5-0C88-4315-AB51-B6FFFC2D483F}" type="TxLink">
            <a:rPr lang="fr-FR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</a:rPr>
            <a:pPr algn="l"/>
            <a:t>#REF!</a:t>
          </a:fld>
          <a:endParaRPr lang="fr-FR" sz="2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+mn-lt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54127</xdr:rowOff>
    </xdr:from>
    <xdr:to>
      <xdr:col>8</xdr:col>
      <xdr:colOff>228743</xdr:colOff>
      <xdr:row>30</xdr:row>
      <xdr:rowOff>71445</xdr:rowOff>
    </xdr:to>
    <xdr:cxnSp macro="">
      <xdr:nvCxnSpPr>
        <xdr:cNvPr id="4" name="Connecteur droit 3"/>
        <xdr:cNvCxnSpPr/>
      </xdr:nvCxnSpPr>
      <xdr:spPr>
        <a:xfrm flipV="1">
          <a:off x="0" y="11072820"/>
          <a:ext cx="13996698" cy="173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54426</xdr:colOff>
      <xdr:row>0</xdr:row>
      <xdr:rowOff>13608</xdr:rowOff>
    </xdr:from>
    <xdr:to>
      <xdr:col>6</xdr:col>
      <xdr:colOff>5034642</xdr:colOff>
      <xdr:row>6</xdr:row>
      <xdr:rowOff>13607</xdr:rowOff>
    </xdr:to>
    <xdr:sp macro="" textlink="">
      <xdr:nvSpPr>
        <xdr:cNvPr id="2" name="Rectangle 1"/>
        <xdr:cNvSpPr/>
      </xdr:nvSpPr>
      <xdr:spPr>
        <a:xfrm>
          <a:off x="3633105" y="13608"/>
          <a:ext cx="8218716" cy="468085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5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10125"/>
                    </a14:imgEffect>
                    <a14:imgEffect>
                      <a14:saturation sat="400000"/>
                    </a14:imgEffect>
                  </a14:imgLayer>
                </a14:imgProps>
              </a:ext>
            </a:extLst>
          </a:blip>
          <a:srcRect/>
          <a:stretch>
            <a:fillRect/>
          </a:stretch>
        </a:blipFill>
        <a:effectLst>
          <a:glow rad="127000">
            <a:schemeClr val="accent1">
              <a:alpha val="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5</xdr:col>
      <xdr:colOff>2136322</xdr:colOff>
      <xdr:row>0</xdr:row>
      <xdr:rowOff>248990</xdr:rowOff>
    </xdr:from>
    <xdr:to>
      <xdr:col>6</xdr:col>
      <xdr:colOff>343254</xdr:colOff>
      <xdr:row>1</xdr:row>
      <xdr:rowOff>590742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239738">
          <a:off x="5905501" y="248990"/>
          <a:ext cx="1254932" cy="125493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0</xdr:rowOff>
    </xdr:from>
    <xdr:to>
      <xdr:col>6</xdr:col>
      <xdr:colOff>4572653</xdr:colOff>
      <xdr:row>32</xdr:row>
      <xdr:rowOff>7793</xdr:rowOff>
    </xdr:to>
    <xdr:cxnSp macro="">
      <xdr:nvCxnSpPr>
        <xdr:cNvPr id="5" name="Connecteur droit 4"/>
        <xdr:cNvCxnSpPr/>
      </xdr:nvCxnSpPr>
      <xdr:spPr>
        <a:xfrm flipV="1">
          <a:off x="0" y="9992264"/>
          <a:ext cx="11222181" cy="7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1974042</xdr:colOff>
      <xdr:row>9</xdr:row>
      <xdr:rowOff>174487</xdr:rowOff>
    </xdr:from>
    <xdr:to>
      <xdr:col>3</xdr:col>
      <xdr:colOff>4703048</xdr:colOff>
      <xdr:row>11</xdr:row>
      <xdr:rowOff>131618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5542" y="11509237"/>
          <a:ext cx="2729006" cy="862006"/>
        </a:xfrm>
        <a:prstGeom prst="rect">
          <a:avLst/>
        </a:prstGeom>
      </xdr:spPr>
    </xdr:pic>
    <xdr:clientData/>
  </xdr:twoCellAnchor>
  <xdr:twoCellAnchor editAs="oneCell">
    <xdr:from>
      <xdr:col>2</xdr:col>
      <xdr:colOff>936508</xdr:colOff>
      <xdr:row>9</xdr:row>
      <xdr:rowOff>162153</xdr:rowOff>
    </xdr:from>
    <xdr:to>
      <xdr:col>2</xdr:col>
      <xdr:colOff>4300063</xdr:colOff>
      <xdr:row>11</xdr:row>
      <xdr:rowOff>104683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2883" y="11496903"/>
          <a:ext cx="3363555" cy="847405"/>
        </a:xfrm>
        <a:prstGeom prst="rect">
          <a:avLst/>
        </a:prstGeom>
      </xdr:spPr>
    </xdr:pic>
    <xdr:clientData/>
  </xdr:twoCellAnchor>
  <xdr:twoCellAnchor>
    <xdr:from>
      <xdr:col>0</xdr:col>
      <xdr:colOff>22679</xdr:colOff>
      <xdr:row>11</xdr:row>
      <xdr:rowOff>436355</xdr:rowOff>
    </xdr:from>
    <xdr:to>
      <xdr:col>9</xdr:col>
      <xdr:colOff>1648422</xdr:colOff>
      <xdr:row>12</xdr:row>
      <xdr:rowOff>1235</xdr:rowOff>
    </xdr:to>
    <xdr:cxnSp macro="">
      <xdr:nvCxnSpPr>
        <xdr:cNvPr id="6" name="Connecteur droit 5"/>
        <xdr:cNvCxnSpPr/>
      </xdr:nvCxnSpPr>
      <xdr:spPr>
        <a:xfrm flipV="1">
          <a:off x="22679" y="12675980"/>
          <a:ext cx="21437743" cy="173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54426</xdr:colOff>
      <xdr:row>0</xdr:row>
      <xdr:rowOff>13608</xdr:rowOff>
    </xdr:from>
    <xdr:to>
      <xdr:col>6</xdr:col>
      <xdr:colOff>5007428</xdr:colOff>
      <xdr:row>6</xdr:row>
      <xdr:rowOff>13607</xdr:rowOff>
    </xdr:to>
    <xdr:sp macro="" textlink="">
      <xdr:nvSpPr>
        <xdr:cNvPr id="2" name="Rectangle 1"/>
        <xdr:cNvSpPr/>
      </xdr:nvSpPr>
      <xdr:spPr>
        <a:xfrm>
          <a:off x="3633105" y="13608"/>
          <a:ext cx="8191502" cy="468085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5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10125"/>
                    </a14:imgEffect>
                    <a14:imgEffect>
                      <a14:saturation sat="400000"/>
                    </a14:imgEffect>
                  </a14:imgLayer>
                </a14:imgProps>
              </a:ext>
            </a:extLst>
          </a:blip>
          <a:srcRect/>
          <a:stretch>
            <a:fillRect/>
          </a:stretch>
        </a:blipFill>
        <a:effectLst>
          <a:glow rad="127000">
            <a:schemeClr val="accent1">
              <a:alpha val="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5</xdr:col>
      <xdr:colOff>2095500</xdr:colOff>
      <xdr:row>0</xdr:row>
      <xdr:rowOff>248991</xdr:rowOff>
    </xdr:from>
    <xdr:to>
      <xdr:col>6</xdr:col>
      <xdr:colOff>302432</xdr:colOff>
      <xdr:row>2</xdr:row>
      <xdr:rowOff>729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239738">
          <a:off x="5864679" y="248991"/>
          <a:ext cx="1254932" cy="1254932"/>
        </a:xfrm>
        <a:prstGeom prst="rect">
          <a:avLst/>
        </a:prstGeom>
      </xdr:spPr>
    </xdr:pic>
    <xdr:clientData/>
  </xdr:twoCellAnchor>
  <xdr:twoCellAnchor>
    <xdr:from>
      <xdr:col>1</xdr:col>
      <xdr:colOff>34637</xdr:colOff>
      <xdr:row>32</xdr:row>
      <xdr:rowOff>0</xdr:rowOff>
    </xdr:from>
    <xdr:to>
      <xdr:col>6</xdr:col>
      <xdr:colOff>4641272</xdr:colOff>
      <xdr:row>32</xdr:row>
      <xdr:rowOff>7793</xdr:rowOff>
    </xdr:to>
    <xdr:cxnSp macro="">
      <xdr:nvCxnSpPr>
        <xdr:cNvPr id="5" name="Connecteur droit 4"/>
        <xdr:cNvCxnSpPr/>
      </xdr:nvCxnSpPr>
      <xdr:spPr>
        <a:xfrm flipV="1">
          <a:off x="69273" y="9802091"/>
          <a:ext cx="11222181" cy="7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2251363</xdr:colOff>
      <xdr:row>1</xdr:row>
      <xdr:rowOff>34636</xdr:rowOff>
    </xdr:from>
    <xdr:to>
      <xdr:col>6</xdr:col>
      <xdr:colOff>342639</xdr:colOff>
      <xdr:row>1</xdr:row>
      <xdr:rowOff>1994715</xdr:rowOff>
    </xdr:to>
    <xdr:pic>
      <xdr:nvPicPr>
        <xdr:cNvPr id="14" name="Image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767" t="7738" r="30050"/>
        <a:stretch/>
      </xdr:blipFill>
      <xdr:spPr>
        <a:xfrm>
          <a:off x="7204363" y="2078181"/>
          <a:ext cx="1433243" cy="19600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8</xdr:col>
      <xdr:colOff>2595562</xdr:colOff>
      <xdr:row>22</xdr:row>
      <xdr:rowOff>41060</xdr:rowOff>
    </xdr:to>
    <xdr:cxnSp macro="">
      <xdr:nvCxnSpPr>
        <xdr:cNvPr id="11" name="Connecteur droit 10"/>
        <xdr:cNvCxnSpPr/>
      </xdr:nvCxnSpPr>
      <xdr:spPr>
        <a:xfrm flipV="1">
          <a:off x="0" y="11287125"/>
          <a:ext cx="16954500" cy="4106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36980</xdr:colOff>
      <xdr:row>16</xdr:row>
      <xdr:rowOff>143436</xdr:rowOff>
    </xdr:from>
    <xdr:to>
      <xdr:col>3</xdr:col>
      <xdr:colOff>753058</xdr:colOff>
      <xdr:row>27</xdr:row>
      <xdr:rowOff>9010</xdr:rowOff>
    </xdr:to>
    <xdr:sp macro="" textlink="JA!A9">
      <xdr:nvSpPr>
        <xdr:cNvPr id="2" name="DM2"/>
        <xdr:cNvSpPr/>
      </xdr:nvSpPr>
      <xdr:spPr>
        <a:xfrm>
          <a:off x="8066555" y="2581836"/>
          <a:ext cx="716078" cy="1437199"/>
        </a:xfrm>
        <a:custGeom>
          <a:avLst/>
          <a:gdLst>
            <a:gd name="connsiteX0" fmla="*/ 0 w 901898"/>
            <a:gd name="connsiteY0" fmla="*/ 97707 h 586233"/>
            <a:gd name="connsiteX1" fmla="*/ 97707 w 901898"/>
            <a:gd name="connsiteY1" fmla="*/ 0 h 586233"/>
            <a:gd name="connsiteX2" fmla="*/ 804191 w 901898"/>
            <a:gd name="connsiteY2" fmla="*/ 0 h 586233"/>
            <a:gd name="connsiteX3" fmla="*/ 901898 w 901898"/>
            <a:gd name="connsiteY3" fmla="*/ 97707 h 586233"/>
            <a:gd name="connsiteX4" fmla="*/ 901898 w 901898"/>
            <a:gd name="connsiteY4" fmla="*/ 488526 h 586233"/>
            <a:gd name="connsiteX5" fmla="*/ 804191 w 901898"/>
            <a:gd name="connsiteY5" fmla="*/ 586233 h 586233"/>
            <a:gd name="connsiteX6" fmla="*/ 97707 w 901898"/>
            <a:gd name="connsiteY6" fmla="*/ 586233 h 586233"/>
            <a:gd name="connsiteX7" fmla="*/ 0 w 901898"/>
            <a:gd name="connsiteY7" fmla="*/ 488526 h 586233"/>
            <a:gd name="connsiteX8" fmla="*/ 0 w 901898"/>
            <a:gd name="connsiteY8" fmla="*/ 97707 h 58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901898" h="586233">
              <a:moveTo>
                <a:pt x="0" y="97707"/>
              </a:moveTo>
              <a:cubicBezTo>
                <a:pt x="0" y="43745"/>
                <a:pt x="43745" y="0"/>
                <a:pt x="97707" y="0"/>
              </a:cubicBezTo>
              <a:lnTo>
                <a:pt x="804191" y="0"/>
              </a:lnTo>
              <a:cubicBezTo>
                <a:pt x="858153" y="0"/>
                <a:pt x="901898" y="43745"/>
                <a:pt x="901898" y="97707"/>
              </a:cubicBezTo>
              <a:lnTo>
                <a:pt x="901898" y="488526"/>
              </a:lnTo>
              <a:cubicBezTo>
                <a:pt x="901898" y="542488"/>
                <a:pt x="858153" y="586233"/>
                <a:pt x="804191" y="586233"/>
              </a:cubicBezTo>
              <a:lnTo>
                <a:pt x="97707" y="586233"/>
              </a:lnTo>
              <a:cubicBezTo>
                <a:pt x="43745" y="586233"/>
                <a:pt x="0" y="542488"/>
                <a:pt x="0" y="488526"/>
              </a:cubicBezTo>
              <a:lnTo>
                <a:pt x="0" y="97707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1008" tIns="101008" rIns="101008" bIns="101008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fld id="{F1E6FA3C-B7C8-45DF-B0EE-AC763174BE4D}" type="TxLink">
            <a:rPr lang="fr-FR" sz="1900" kern="1200"/>
            <a:pPr lvl="0" algn="ctr" defTabSz="844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t>DM2</a:t>
          </a:fld>
          <a:endParaRPr lang="fr-FR" sz="1900" kern="1200"/>
        </a:p>
      </xdr:txBody>
    </xdr:sp>
    <xdr:clientData/>
  </xdr:twoCellAnchor>
  <xdr:twoCellAnchor>
    <xdr:from>
      <xdr:col>3</xdr:col>
      <xdr:colOff>25775</xdr:colOff>
      <xdr:row>3</xdr:row>
      <xdr:rowOff>59950</xdr:rowOff>
    </xdr:from>
    <xdr:to>
      <xdr:col>3</xdr:col>
      <xdr:colOff>741853</xdr:colOff>
      <xdr:row>13</xdr:row>
      <xdr:rowOff>61676</xdr:rowOff>
    </xdr:to>
    <xdr:sp macro="" textlink="JA!A8">
      <xdr:nvSpPr>
        <xdr:cNvPr id="3" name="DM1"/>
        <xdr:cNvSpPr/>
      </xdr:nvSpPr>
      <xdr:spPr>
        <a:xfrm>
          <a:off x="8055350" y="631450"/>
          <a:ext cx="716078" cy="1440001"/>
        </a:xfrm>
        <a:custGeom>
          <a:avLst/>
          <a:gdLst>
            <a:gd name="connsiteX0" fmla="*/ 0 w 901898"/>
            <a:gd name="connsiteY0" fmla="*/ 97707 h 586233"/>
            <a:gd name="connsiteX1" fmla="*/ 97707 w 901898"/>
            <a:gd name="connsiteY1" fmla="*/ 0 h 586233"/>
            <a:gd name="connsiteX2" fmla="*/ 804191 w 901898"/>
            <a:gd name="connsiteY2" fmla="*/ 0 h 586233"/>
            <a:gd name="connsiteX3" fmla="*/ 901898 w 901898"/>
            <a:gd name="connsiteY3" fmla="*/ 97707 h 586233"/>
            <a:gd name="connsiteX4" fmla="*/ 901898 w 901898"/>
            <a:gd name="connsiteY4" fmla="*/ 488526 h 586233"/>
            <a:gd name="connsiteX5" fmla="*/ 804191 w 901898"/>
            <a:gd name="connsiteY5" fmla="*/ 586233 h 586233"/>
            <a:gd name="connsiteX6" fmla="*/ 97707 w 901898"/>
            <a:gd name="connsiteY6" fmla="*/ 586233 h 586233"/>
            <a:gd name="connsiteX7" fmla="*/ 0 w 901898"/>
            <a:gd name="connsiteY7" fmla="*/ 488526 h 586233"/>
            <a:gd name="connsiteX8" fmla="*/ 0 w 901898"/>
            <a:gd name="connsiteY8" fmla="*/ 97707 h 58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901898" h="586233">
              <a:moveTo>
                <a:pt x="0" y="97707"/>
              </a:moveTo>
              <a:cubicBezTo>
                <a:pt x="0" y="43745"/>
                <a:pt x="43745" y="0"/>
                <a:pt x="97707" y="0"/>
              </a:cubicBezTo>
              <a:lnTo>
                <a:pt x="804191" y="0"/>
              </a:lnTo>
              <a:cubicBezTo>
                <a:pt x="858153" y="0"/>
                <a:pt x="901898" y="43745"/>
                <a:pt x="901898" y="97707"/>
              </a:cubicBezTo>
              <a:lnTo>
                <a:pt x="901898" y="488526"/>
              </a:lnTo>
              <a:cubicBezTo>
                <a:pt x="901898" y="542488"/>
                <a:pt x="858153" y="586233"/>
                <a:pt x="804191" y="586233"/>
              </a:cubicBezTo>
              <a:lnTo>
                <a:pt x="97707" y="586233"/>
              </a:lnTo>
              <a:cubicBezTo>
                <a:pt x="43745" y="586233"/>
                <a:pt x="0" y="542488"/>
                <a:pt x="0" y="488526"/>
              </a:cubicBezTo>
              <a:lnTo>
                <a:pt x="0" y="97707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1008" tIns="101008" rIns="101008" bIns="101008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fld id="{FA4712E1-E470-4D89-AF8B-3E6313644942}" type="TxLink">
            <a:rPr lang="fr-FR" sz="1900" kern="1200"/>
            <a:pPr lvl="0" algn="ctr" defTabSz="844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t>DM1</a:t>
          </a:fld>
          <a:endParaRPr lang="fr-FR" sz="1900" kern="1200"/>
        </a:p>
      </xdr:txBody>
    </xdr:sp>
    <xdr:clientData/>
  </xdr:twoCellAnchor>
  <xdr:twoCellAnchor>
    <xdr:from>
      <xdr:col>0</xdr:col>
      <xdr:colOff>161924</xdr:colOff>
      <xdr:row>10</xdr:row>
      <xdr:rowOff>21190</xdr:rowOff>
    </xdr:from>
    <xdr:to>
      <xdr:col>2</xdr:col>
      <xdr:colOff>116024</xdr:colOff>
      <xdr:row>20</xdr:row>
      <xdr:rowOff>32440</xdr:rowOff>
    </xdr:to>
    <xdr:sp macro="" textlink="JA!A6">
      <xdr:nvSpPr>
        <xdr:cNvPr id="4" name="DH"/>
        <xdr:cNvSpPr/>
      </xdr:nvSpPr>
      <xdr:spPr>
        <a:xfrm>
          <a:off x="5457824" y="1602340"/>
          <a:ext cx="1440000" cy="1440000"/>
        </a:xfrm>
        <a:custGeom>
          <a:avLst/>
          <a:gdLst>
            <a:gd name="connsiteX0" fmla="*/ 0 w 901898"/>
            <a:gd name="connsiteY0" fmla="*/ 97707 h 586233"/>
            <a:gd name="connsiteX1" fmla="*/ 97707 w 901898"/>
            <a:gd name="connsiteY1" fmla="*/ 0 h 586233"/>
            <a:gd name="connsiteX2" fmla="*/ 804191 w 901898"/>
            <a:gd name="connsiteY2" fmla="*/ 0 h 586233"/>
            <a:gd name="connsiteX3" fmla="*/ 901898 w 901898"/>
            <a:gd name="connsiteY3" fmla="*/ 97707 h 586233"/>
            <a:gd name="connsiteX4" fmla="*/ 901898 w 901898"/>
            <a:gd name="connsiteY4" fmla="*/ 488526 h 586233"/>
            <a:gd name="connsiteX5" fmla="*/ 804191 w 901898"/>
            <a:gd name="connsiteY5" fmla="*/ 586233 h 586233"/>
            <a:gd name="connsiteX6" fmla="*/ 97707 w 901898"/>
            <a:gd name="connsiteY6" fmla="*/ 586233 h 586233"/>
            <a:gd name="connsiteX7" fmla="*/ 0 w 901898"/>
            <a:gd name="connsiteY7" fmla="*/ 488526 h 586233"/>
            <a:gd name="connsiteX8" fmla="*/ 0 w 901898"/>
            <a:gd name="connsiteY8" fmla="*/ 97707 h 58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901898" h="586233">
              <a:moveTo>
                <a:pt x="0" y="97707"/>
              </a:moveTo>
              <a:cubicBezTo>
                <a:pt x="0" y="43745"/>
                <a:pt x="43745" y="0"/>
                <a:pt x="97707" y="0"/>
              </a:cubicBezTo>
              <a:lnTo>
                <a:pt x="804191" y="0"/>
              </a:lnTo>
              <a:cubicBezTo>
                <a:pt x="858153" y="0"/>
                <a:pt x="901898" y="43745"/>
                <a:pt x="901898" y="97707"/>
              </a:cubicBezTo>
              <a:lnTo>
                <a:pt x="901898" y="488526"/>
              </a:lnTo>
              <a:cubicBezTo>
                <a:pt x="901898" y="542488"/>
                <a:pt x="858153" y="586233"/>
                <a:pt x="804191" y="586233"/>
              </a:cubicBezTo>
              <a:lnTo>
                <a:pt x="97707" y="586233"/>
              </a:lnTo>
              <a:cubicBezTo>
                <a:pt x="43745" y="586233"/>
                <a:pt x="0" y="542488"/>
                <a:pt x="0" y="488526"/>
              </a:cubicBezTo>
              <a:lnTo>
                <a:pt x="0" y="97707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1008" tIns="101008" rIns="101008" bIns="101008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fld id="{186D0F6F-C031-46DF-B4F6-B818AADFBE7A}" type="TxLink">
            <a:rPr lang="fr-FR" sz="1900" kern="1200"/>
            <a:pPr lvl="0" algn="ctr" defTabSz="844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t>DH</a:t>
          </a:fld>
          <a:endParaRPr lang="fr-FR" sz="1900" kern="1200"/>
        </a:p>
      </xdr:txBody>
    </xdr:sp>
    <xdr:clientData/>
  </xdr:twoCellAnchor>
  <xdr:twoCellAnchor>
    <xdr:from>
      <xdr:col>5</xdr:col>
      <xdr:colOff>381559</xdr:colOff>
      <xdr:row>9</xdr:row>
      <xdr:rowOff>122043</xdr:rowOff>
    </xdr:from>
    <xdr:to>
      <xdr:col>7</xdr:col>
      <xdr:colOff>290836</xdr:colOff>
      <xdr:row>19</xdr:row>
      <xdr:rowOff>133294</xdr:rowOff>
    </xdr:to>
    <xdr:sp macro="" textlink="JA!A7">
      <xdr:nvSpPr>
        <xdr:cNvPr id="5" name="DD"/>
        <xdr:cNvSpPr/>
      </xdr:nvSpPr>
      <xdr:spPr>
        <a:xfrm>
          <a:off x="9935134" y="1560318"/>
          <a:ext cx="1433277" cy="1440001"/>
        </a:xfrm>
        <a:custGeom>
          <a:avLst/>
          <a:gdLst>
            <a:gd name="connsiteX0" fmla="*/ 0 w 901898"/>
            <a:gd name="connsiteY0" fmla="*/ 97707 h 586233"/>
            <a:gd name="connsiteX1" fmla="*/ 97707 w 901898"/>
            <a:gd name="connsiteY1" fmla="*/ 0 h 586233"/>
            <a:gd name="connsiteX2" fmla="*/ 804191 w 901898"/>
            <a:gd name="connsiteY2" fmla="*/ 0 h 586233"/>
            <a:gd name="connsiteX3" fmla="*/ 901898 w 901898"/>
            <a:gd name="connsiteY3" fmla="*/ 97707 h 586233"/>
            <a:gd name="connsiteX4" fmla="*/ 901898 w 901898"/>
            <a:gd name="connsiteY4" fmla="*/ 488526 h 586233"/>
            <a:gd name="connsiteX5" fmla="*/ 804191 w 901898"/>
            <a:gd name="connsiteY5" fmla="*/ 586233 h 586233"/>
            <a:gd name="connsiteX6" fmla="*/ 97707 w 901898"/>
            <a:gd name="connsiteY6" fmla="*/ 586233 h 586233"/>
            <a:gd name="connsiteX7" fmla="*/ 0 w 901898"/>
            <a:gd name="connsiteY7" fmla="*/ 488526 h 586233"/>
            <a:gd name="connsiteX8" fmla="*/ 0 w 901898"/>
            <a:gd name="connsiteY8" fmla="*/ 97707 h 58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901898" h="586233">
              <a:moveTo>
                <a:pt x="0" y="97707"/>
              </a:moveTo>
              <a:cubicBezTo>
                <a:pt x="0" y="43745"/>
                <a:pt x="43745" y="0"/>
                <a:pt x="97707" y="0"/>
              </a:cubicBezTo>
              <a:lnTo>
                <a:pt x="804191" y="0"/>
              </a:lnTo>
              <a:cubicBezTo>
                <a:pt x="858153" y="0"/>
                <a:pt x="901898" y="43745"/>
                <a:pt x="901898" y="97707"/>
              </a:cubicBezTo>
              <a:lnTo>
                <a:pt x="901898" y="488526"/>
              </a:lnTo>
              <a:cubicBezTo>
                <a:pt x="901898" y="542488"/>
                <a:pt x="858153" y="586233"/>
                <a:pt x="804191" y="586233"/>
              </a:cubicBezTo>
              <a:lnTo>
                <a:pt x="97707" y="586233"/>
              </a:lnTo>
              <a:cubicBezTo>
                <a:pt x="43745" y="586233"/>
                <a:pt x="0" y="542488"/>
                <a:pt x="0" y="488526"/>
              </a:cubicBezTo>
              <a:lnTo>
                <a:pt x="0" y="97707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1008" tIns="101008" rIns="101008" bIns="101008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fld id="{F830705F-DD27-4065-92F1-554BB96E477E}" type="TxLink">
            <a:rPr lang="fr-FR" sz="1900" kern="1200"/>
            <a:pPr lvl="0" algn="ctr" defTabSz="844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t>DD</a:t>
          </a:fld>
          <a:endParaRPr lang="fr-FR" sz="1900" kern="1200"/>
        </a:p>
      </xdr:txBody>
    </xdr:sp>
    <xdr:clientData/>
  </xdr:twoCellAnchor>
  <xdr:twoCellAnchor>
    <xdr:from>
      <xdr:col>5</xdr:col>
      <xdr:colOff>381559</xdr:colOff>
      <xdr:row>24</xdr:row>
      <xdr:rowOff>45854</xdr:rowOff>
    </xdr:from>
    <xdr:to>
      <xdr:col>7</xdr:col>
      <xdr:colOff>290836</xdr:colOff>
      <xdr:row>29</xdr:row>
      <xdr:rowOff>51479</xdr:rowOff>
    </xdr:to>
    <xdr:sp macro="" textlink="JA!A5">
      <xdr:nvSpPr>
        <xdr:cNvPr id="6" name="SD2"/>
        <xdr:cNvSpPr/>
      </xdr:nvSpPr>
      <xdr:spPr>
        <a:xfrm>
          <a:off x="9935134" y="3627254"/>
          <a:ext cx="1433277" cy="720000"/>
        </a:xfrm>
        <a:custGeom>
          <a:avLst/>
          <a:gdLst>
            <a:gd name="connsiteX0" fmla="*/ 0 w 901898"/>
            <a:gd name="connsiteY0" fmla="*/ 97707 h 586233"/>
            <a:gd name="connsiteX1" fmla="*/ 97707 w 901898"/>
            <a:gd name="connsiteY1" fmla="*/ 0 h 586233"/>
            <a:gd name="connsiteX2" fmla="*/ 804191 w 901898"/>
            <a:gd name="connsiteY2" fmla="*/ 0 h 586233"/>
            <a:gd name="connsiteX3" fmla="*/ 901898 w 901898"/>
            <a:gd name="connsiteY3" fmla="*/ 97707 h 586233"/>
            <a:gd name="connsiteX4" fmla="*/ 901898 w 901898"/>
            <a:gd name="connsiteY4" fmla="*/ 488526 h 586233"/>
            <a:gd name="connsiteX5" fmla="*/ 804191 w 901898"/>
            <a:gd name="connsiteY5" fmla="*/ 586233 h 586233"/>
            <a:gd name="connsiteX6" fmla="*/ 97707 w 901898"/>
            <a:gd name="connsiteY6" fmla="*/ 586233 h 586233"/>
            <a:gd name="connsiteX7" fmla="*/ 0 w 901898"/>
            <a:gd name="connsiteY7" fmla="*/ 488526 h 586233"/>
            <a:gd name="connsiteX8" fmla="*/ 0 w 901898"/>
            <a:gd name="connsiteY8" fmla="*/ 97707 h 58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901898" h="586233">
              <a:moveTo>
                <a:pt x="0" y="97707"/>
              </a:moveTo>
              <a:cubicBezTo>
                <a:pt x="0" y="43745"/>
                <a:pt x="43745" y="0"/>
                <a:pt x="97707" y="0"/>
              </a:cubicBezTo>
              <a:lnTo>
                <a:pt x="804191" y="0"/>
              </a:lnTo>
              <a:cubicBezTo>
                <a:pt x="858153" y="0"/>
                <a:pt x="901898" y="43745"/>
                <a:pt x="901898" y="97707"/>
              </a:cubicBezTo>
              <a:lnTo>
                <a:pt x="901898" y="488526"/>
              </a:lnTo>
              <a:cubicBezTo>
                <a:pt x="901898" y="542488"/>
                <a:pt x="858153" y="586233"/>
                <a:pt x="804191" y="586233"/>
              </a:cubicBezTo>
              <a:lnTo>
                <a:pt x="97707" y="586233"/>
              </a:lnTo>
              <a:cubicBezTo>
                <a:pt x="43745" y="586233"/>
                <a:pt x="0" y="542488"/>
                <a:pt x="0" y="488526"/>
              </a:cubicBezTo>
              <a:lnTo>
                <a:pt x="0" y="97707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1008" tIns="101008" rIns="101008" bIns="101008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fld id="{FD128C88-85C4-47EA-AE0F-DF2DD489AA51}" type="TxLink">
            <a:rPr lang="fr-FR" sz="1900" kern="1200"/>
            <a:pPr lvl="0" algn="ctr" defTabSz="844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t>SD2</a:t>
          </a:fld>
          <a:endParaRPr lang="fr-FR" sz="1900" kern="1200"/>
        </a:p>
      </xdr:txBody>
    </xdr:sp>
    <xdr:clientData/>
  </xdr:twoCellAnchor>
  <xdr:twoCellAnchor>
    <xdr:from>
      <xdr:col>5</xdr:col>
      <xdr:colOff>381559</xdr:colOff>
      <xdr:row>0</xdr:row>
      <xdr:rowOff>207779</xdr:rowOff>
    </xdr:from>
    <xdr:to>
      <xdr:col>7</xdr:col>
      <xdr:colOff>290836</xdr:colOff>
      <xdr:row>5</xdr:row>
      <xdr:rowOff>70529</xdr:rowOff>
    </xdr:to>
    <xdr:sp macro="" textlink="JA!A4">
      <xdr:nvSpPr>
        <xdr:cNvPr id="7" name="SD1"/>
        <xdr:cNvSpPr/>
      </xdr:nvSpPr>
      <xdr:spPr>
        <a:xfrm>
          <a:off x="9935134" y="207779"/>
          <a:ext cx="1433277" cy="720000"/>
        </a:xfrm>
        <a:custGeom>
          <a:avLst/>
          <a:gdLst>
            <a:gd name="connsiteX0" fmla="*/ 0 w 901898"/>
            <a:gd name="connsiteY0" fmla="*/ 97707 h 586233"/>
            <a:gd name="connsiteX1" fmla="*/ 97707 w 901898"/>
            <a:gd name="connsiteY1" fmla="*/ 0 h 586233"/>
            <a:gd name="connsiteX2" fmla="*/ 804191 w 901898"/>
            <a:gd name="connsiteY2" fmla="*/ 0 h 586233"/>
            <a:gd name="connsiteX3" fmla="*/ 901898 w 901898"/>
            <a:gd name="connsiteY3" fmla="*/ 97707 h 586233"/>
            <a:gd name="connsiteX4" fmla="*/ 901898 w 901898"/>
            <a:gd name="connsiteY4" fmla="*/ 488526 h 586233"/>
            <a:gd name="connsiteX5" fmla="*/ 804191 w 901898"/>
            <a:gd name="connsiteY5" fmla="*/ 586233 h 586233"/>
            <a:gd name="connsiteX6" fmla="*/ 97707 w 901898"/>
            <a:gd name="connsiteY6" fmla="*/ 586233 h 586233"/>
            <a:gd name="connsiteX7" fmla="*/ 0 w 901898"/>
            <a:gd name="connsiteY7" fmla="*/ 488526 h 586233"/>
            <a:gd name="connsiteX8" fmla="*/ 0 w 901898"/>
            <a:gd name="connsiteY8" fmla="*/ 97707 h 58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901898" h="586233">
              <a:moveTo>
                <a:pt x="0" y="97707"/>
              </a:moveTo>
              <a:cubicBezTo>
                <a:pt x="0" y="43745"/>
                <a:pt x="43745" y="0"/>
                <a:pt x="97707" y="0"/>
              </a:cubicBezTo>
              <a:lnTo>
                <a:pt x="804191" y="0"/>
              </a:lnTo>
              <a:cubicBezTo>
                <a:pt x="858153" y="0"/>
                <a:pt x="901898" y="43745"/>
                <a:pt x="901898" y="97707"/>
              </a:cubicBezTo>
              <a:lnTo>
                <a:pt x="901898" y="488526"/>
              </a:lnTo>
              <a:cubicBezTo>
                <a:pt x="901898" y="542488"/>
                <a:pt x="858153" y="586233"/>
                <a:pt x="804191" y="586233"/>
              </a:cubicBezTo>
              <a:lnTo>
                <a:pt x="97707" y="586233"/>
              </a:lnTo>
              <a:cubicBezTo>
                <a:pt x="43745" y="586233"/>
                <a:pt x="0" y="542488"/>
                <a:pt x="0" y="488526"/>
              </a:cubicBezTo>
              <a:lnTo>
                <a:pt x="0" y="97707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1008" tIns="101008" rIns="101008" bIns="101008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fld id="{AC87B698-C0A9-4D8B-98A2-DCC716889886}" type="TxLink">
            <a:rPr lang="fr-FR" sz="1900" kern="1200"/>
            <a:pPr lvl="0" algn="ctr" defTabSz="844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t>SD1</a:t>
          </a:fld>
          <a:endParaRPr lang="fr-FR" sz="1900" kern="1200"/>
        </a:p>
      </xdr:txBody>
    </xdr:sp>
    <xdr:clientData/>
  </xdr:twoCellAnchor>
  <xdr:twoCellAnchor>
    <xdr:from>
      <xdr:col>0</xdr:col>
      <xdr:colOff>161924</xdr:colOff>
      <xdr:row>24</xdr:row>
      <xdr:rowOff>90677</xdr:rowOff>
    </xdr:from>
    <xdr:to>
      <xdr:col>2</xdr:col>
      <xdr:colOff>116024</xdr:colOff>
      <xdr:row>29</xdr:row>
      <xdr:rowOff>96302</xdr:rowOff>
    </xdr:to>
    <xdr:sp macro="" textlink="JA!A3">
      <xdr:nvSpPr>
        <xdr:cNvPr id="8" name="SH2"/>
        <xdr:cNvSpPr/>
      </xdr:nvSpPr>
      <xdr:spPr>
        <a:xfrm>
          <a:off x="5457824" y="3672077"/>
          <a:ext cx="1440000" cy="720000"/>
        </a:xfrm>
        <a:custGeom>
          <a:avLst/>
          <a:gdLst>
            <a:gd name="connsiteX0" fmla="*/ 0 w 901898"/>
            <a:gd name="connsiteY0" fmla="*/ 97707 h 586233"/>
            <a:gd name="connsiteX1" fmla="*/ 97707 w 901898"/>
            <a:gd name="connsiteY1" fmla="*/ 0 h 586233"/>
            <a:gd name="connsiteX2" fmla="*/ 804191 w 901898"/>
            <a:gd name="connsiteY2" fmla="*/ 0 h 586233"/>
            <a:gd name="connsiteX3" fmla="*/ 901898 w 901898"/>
            <a:gd name="connsiteY3" fmla="*/ 97707 h 586233"/>
            <a:gd name="connsiteX4" fmla="*/ 901898 w 901898"/>
            <a:gd name="connsiteY4" fmla="*/ 488526 h 586233"/>
            <a:gd name="connsiteX5" fmla="*/ 804191 w 901898"/>
            <a:gd name="connsiteY5" fmla="*/ 586233 h 586233"/>
            <a:gd name="connsiteX6" fmla="*/ 97707 w 901898"/>
            <a:gd name="connsiteY6" fmla="*/ 586233 h 586233"/>
            <a:gd name="connsiteX7" fmla="*/ 0 w 901898"/>
            <a:gd name="connsiteY7" fmla="*/ 488526 h 586233"/>
            <a:gd name="connsiteX8" fmla="*/ 0 w 901898"/>
            <a:gd name="connsiteY8" fmla="*/ 97707 h 58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901898" h="586233">
              <a:moveTo>
                <a:pt x="0" y="97707"/>
              </a:moveTo>
              <a:cubicBezTo>
                <a:pt x="0" y="43745"/>
                <a:pt x="43745" y="0"/>
                <a:pt x="97707" y="0"/>
              </a:cubicBezTo>
              <a:lnTo>
                <a:pt x="804191" y="0"/>
              </a:lnTo>
              <a:cubicBezTo>
                <a:pt x="858153" y="0"/>
                <a:pt x="901898" y="43745"/>
                <a:pt x="901898" y="97707"/>
              </a:cubicBezTo>
              <a:lnTo>
                <a:pt x="901898" y="488526"/>
              </a:lnTo>
              <a:cubicBezTo>
                <a:pt x="901898" y="542488"/>
                <a:pt x="858153" y="586233"/>
                <a:pt x="804191" y="586233"/>
              </a:cubicBezTo>
              <a:lnTo>
                <a:pt x="97707" y="586233"/>
              </a:lnTo>
              <a:cubicBezTo>
                <a:pt x="43745" y="586233"/>
                <a:pt x="0" y="542488"/>
                <a:pt x="0" y="488526"/>
              </a:cubicBezTo>
              <a:lnTo>
                <a:pt x="0" y="97707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1008" tIns="101008" rIns="101008" bIns="101008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fld id="{D5AA66A7-1C63-4E6C-A62B-C348DB266FDC}" type="TxLink">
            <a:rPr lang="fr-FR" sz="1900" kern="1200"/>
            <a:pPr lvl="0" algn="ctr" defTabSz="844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t>SH2</a:t>
          </a:fld>
          <a:endParaRPr lang="fr-FR" sz="1900" kern="1200"/>
        </a:p>
      </xdr:txBody>
    </xdr:sp>
    <xdr:clientData/>
  </xdr:twoCellAnchor>
  <xdr:twoCellAnchor>
    <xdr:from>
      <xdr:col>0</xdr:col>
      <xdr:colOff>161924</xdr:colOff>
      <xdr:row>0</xdr:row>
      <xdr:rowOff>252602</xdr:rowOff>
    </xdr:from>
    <xdr:to>
      <xdr:col>2</xdr:col>
      <xdr:colOff>116024</xdr:colOff>
      <xdr:row>5</xdr:row>
      <xdr:rowOff>115352</xdr:rowOff>
    </xdr:to>
    <xdr:sp macro="" textlink="JA!A2">
      <xdr:nvSpPr>
        <xdr:cNvPr id="9" name="SH1"/>
        <xdr:cNvSpPr/>
      </xdr:nvSpPr>
      <xdr:spPr>
        <a:xfrm>
          <a:off x="5457824" y="252602"/>
          <a:ext cx="1440000" cy="720000"/>
        </a:xfrm>
        <a:custGeom>
          <a:avLst/>
          <a:gdLst>
            <a:gd name="connsiteX0" fmla="*/ 0 w 901898"/>
            <a:gd name="connsiteY0" fmla="*/ 97707 h 586233"/>
            <a:gd name="connsiteX1" fmla="*/ 97707 w 901898"/>
            <a:gd name="connsiteY1" fmla="*/ 0 h 586233"/>
            <a:gd name="connsiteX2" fmla="*/ 804191 w 901898"/>
            <a:gd name="connsiteY2" fmla="*/ 0 h 586233"/>
            <a:gd name="connsiteX3" fmla="*/ 901898 w 901898"/>
            <a:gd name="connsiteY3" fmla="*/ 97707 h 586233"/>
            <a:gd name="connsiteX4" fmla="*/ 901898 w 901898"/>
            <a:gd name="connsiteY4" fmla="*/ 488526 h 586233"/>
            <a:gd name="connsiteX5" fmla="*/ 804191 w 901898"/>
            <a:gd name="connsiteY5" fmla="*/ 586233 h 586233"/>
            <a:gd name="connsiteX6" fmla="*/ 97707 w 901898"/>
            <a:gd name="connsiteY6" fmla="*/ 586233 h 586233"/>
            <a:gd name="connsiteX7" fmla="*/ 0 w 901898"/>
            <a:gd name="connsiteY7" fmla="*/ 488526 h 586233"/>
            <a:gd name="connsiteX8" fmla="*/ 0 w 901898"/>
            <a:gd name="connsiteY8" fmla="*/ 97707 h 58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901898" h="586233">
              <a:moveTo>
                <a:pt x="0" y="97707"/>
              </a:moveTo>
              <a:cubicBezTo>
                <a:pt x="0" y="43745"/>
                <a:pt x="43745" y="0"/>
                <a:pt x="97707" y="0"/>
              </a:cubicBezTo>
              <a:lnTo>
                <a:pt x="804191" y="0"/>
              </a:lnTo>
              <a:cubicBezTo>
                <a:pt x="858153" y="0"/>
                <a:pt x="901898" y="43745"/>
                <a:pt x="901898" y="97707"/>
              </a:cubicBezTo>
              <a:lnTo>
                <a:pt x="901898" y="488526"/>
              </a:lnTo>
              <a:cubicBezTo>
                <a:pt x="901898" y="542488"/>
                <a:pt x="858153" y="586233"/>
                <a:pt x="804191" y="586233"/>
              </a:cubicBezTo>
              <a:lnTo>
                <a:pt x="97707" y="586233"/>
              </a:lnTo>
              <a:cubicBezTo>
                <a:pt x="43745" y="586233"/>
                <a:pt x="0" y="542488"/>
                <a:pt x="0" y="488526"/>
              </a:cubicBezTo>
              <a:lnTo>
                <a:pt x="0" y="97707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1008" tIns="101008" rIns="101008" bIns="101008" numCol="1" spcCol="1270" anchor="ctr" anchorCtr="0">
          <a:noAutofit/>
        </a:bodyPr>
        <a:lstStyle/>
        <a:p>
          <a:pPr lvl="0" algn="ctr" defTabSz="8445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fld id="{27B6EE98-8677-4AC3-A7C2-943D86E41206}" type="TxLink">
            <a:rPr lang="fr-FR" sz="1900" kern="1200"/>
            <a:pPr lvl="0" algn="ctr" defTabSz="844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t>SH1</a:t>
          </a:fld>
          <a:endParaRPr lang="fr-FR" sz="1900" kern="1200"/>
        </a:p>
      </xdr:txBody>
    </xdr:sp>
    <xdr:clientData/>
  </xdr:twoCellAnchor>
  <xdr:twoCellAnchor>
    <xdr:from>
      <xdr:col>3</xdr:col>
      <xdr:colOff>741829</xdr:colOff>
      <xdr:row>25</xdr:row>
      <xdr:rowOff>69479</xdr:rowOff>
    </xdr:from>
    <xdr:to>
      <xdr:col>5</xdr:col>
      <xdr:colOff>405652</xdr:colOff>
      <xdr:row>28</xdr:row>
      <xdr:rowOff>13449</xdr:rowOff>
    </xdr:to>
    <xdr:sp macro="" textlink="JA!T17" fLocksText="0">
      <xdr:nvSpPr>
        <xdr:cNvPr id="10" name="SD2-DM2"/>
        <xdr:cNvSpPr/>
      </xdr:nvSpPr>
      <xdr:spPr>
        <a:xfrm>
          <a:off x="8771404" y="3793754"/>
          <a:ext cx="1187823" cy="372595"/>
        </a:xfrm>
        <a:custGeom>
          <a:avLst/>
          <a:gdLst>
            <a:gd name="connsiteX0" fmla="*/ 0 w 1064559"/>
            <a:gd name="connsiteY0" fmla="*/ 0 h 257736"/>
            <a:gd name="connsiteX1" fmla="*/ 1064559 w 1064559"/>
            <a:gd name="connsiteY1" fmla="*/ 257736 h 257736"/>
            <a:gd name="connsiteX2" fmla="*/ 1064559 w 1064559"/>
            <a:gd name="connsiteY2" fmla="*/ 257736 h 257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64559" h="257736">
              <a:moveTo>
                <a:pt x="0" y="0"/>
              </a:moveTo>
              <a:lnTo>
                <a:pt x="1064559" y="257736"/>
              </a:lnTo>
              <a:lnTo>
                <a:pt x="1064559" y="257736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b" anchorCtr="0"/>
        <a:lstStyle/>
        <a:p>
          <a:pPr algn="r"/>
          <a:fld id="{972DD884-115D-45DB-B3E3-49B694D89D21}" type="TxLink">
            <a:rPr lang="fr-FR" sz="800">
              <a:ln>
                <a:solidFill>
                  <a:sysClr val="windowText" lastClr="000000"/>
                </a:solidFill>
              </a:ln>
            </a:rPr>
            <a:pPr algn="r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3</xdr:col>
      <xdr:colOff>670110</xdr:colOff>
      <xdr:row>12</xdr:row>
      <xdr:rowOff>98612</xdr:rowOff>
    </xdr:from>
    <xdr:to>
      <xdr:col>5</xdr:col>
      <xdr:colOff>412375</xdr:colOff>
      <xdr:row>24</xdr:row>
      <xdr:rowOff>132230</xdr:rowOff>
    </xdr:to>
    <xdr:sp macro="" textlink="JA!T16" fLocksText="0">
      <xdr:nvSpPr>
        <xdr:cNvPr id="11" name="SD2-DM1"/>
        <xdr:cNvSpPr/>
      </xdr:nvSpPr>
      <xdr:spPr>
        <a:xfrm rot="10800000" flipV="1">
          <a:off x="8699685" y="1965512"/>
          <a:ext cx="1266265" cy="1748118"/>
        </a:xfrm>
        <a:custGeom>
          <a:avLst/>
          <a:gdLst>
            <a:gd name="connsiteX0" fmla="*/ 0 w 1266265"/>
            <a:gd name="connsiteY0" fmla="*/ 1781736 h 1781736"/>
            <a:gd name="connsiteX1" fmla="*/ 1266265 w 1266265"/>
            <a:gd name="connsiteY1" fmla="*/ 0 h 1781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1266265" h="1781736">
              <a:moveTo>
                <a:pt x="0" y="1781736"/>
              </a:moveTo>
              <a:lnTo>
                <a:pt x="1266265" y="0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 anchorCtr="0"/>
        <a:lstStyle/>
        <a:p>
          <a:pPr algn="r"/>
          <a:fld id="{E545FC56-C496-454E-B84F-113C101D8687}" type="TxLink">
            <a:rPr lang="fr-FR" sz="800">
              <a:ln>
                <a:solidFill>
                  <a:sysClr val="windowText" lastClr="000000"/>
                </a:solidFill>
              </a:ln>
            </a:rPr>
            <a:pPr algn="r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3</xdr:col>
      <xdr:colOff>699245</xdr:colOff>
      <xdr:row>5</xdr:row>
      <xdr:rowOff>26894</xdr:rowOff>
    </xdr:from>
    <xdr:to>
      <xdr:col>5</xdr:col>
      <xdr:colOff>441510</xdr:colOff>
      <xdr:row>17</xdr:row>
      <xdr:rowOff>49307</xdr:rowOff>
    </xdr:to>
    <xdr:sp macro="" textlink="JA!T15" fLocksText="0">
      <xdr:nvSpPr>
        <xdr:cNvPr id="12" name="SD1-DM2"/>
        <xdr:cNvSpPr/>
      </xdr:nvSpPr>
      <xdr:spPr>
        <a:xfrm rot="10800000" flipH="1" flipV="1">
          <a:off x="8728820" y="884144"/>
          <a:ext cx="1266265" cy="1746438"/>
        </a:xfrm>
        <a:custGeom>
          <a:avLst/>
          <a:gdLst>
            <a:gd name="connsiteX0" fmla="*/ 0 w 1266265"/>
            <a:gd name="connsiteY0" fmla="*/ 1781736 h 1781736"/>
            <a:gd name="connsiteX1" fmla="*/ 1266265 w 1266265"/>
            <a:gd name="connsiteY1" fmla="*/ 0 h 1781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1266265" h="1781736">
              <a:moveTo>
                <a:pt x="0" y="1781736"/>
              </a:moveTo>
              <a:lnTo>
                <a:pt x="1266265" y="0"/>
              </a:lnTo>
            </a:path>
          </a:pathLst>
        </a:custGeom>
        <a:noFill/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r"/>
          <a:fld id="{93AE4453-3A23-4941-8B88-BB7CC2208670}" type="TxLink">
            <a:rPr lang="fr-FR" sz="800">
              <a:ln>
                <a:solidFill>
                  <a:sysClr val="windowText" lastClr="000000"/>
                </a:solidFill>
              </a:ln>
            </a:rPr>
            <a:pPr algn="r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3</xdr:col>
      <xdr:colOff>732863</xdr:colOff>
      <xdr:row>1</xdr:row>
      <xdr:rowOff>127734</xdr:rowOff>
    </xdr:from>
    <xdr:to>
      <xdr:col>5</xdr:col>
      <xdr:colOff>396686</xdr:colOff>
      <xdr:row>4</xdr:row>
      <xdr:rowOff>71705</xdr:rowOff>
    </xdr:to>
    <xdr:sp macro="" textlink="JA!T14" fLocksText="0">
      <xdr:nvSpPr>
        <xdr:cNvPr id="13" name="SD1-DM1"/>
        <xdr:cNvSpPr/>
      </xdr:nvSpPr>
      <xdr:spPr>
        <a:xfrm flipH="1">
          <a:off x="8762438" y="413484"/>
          <a:ext cx="1187823" cy="372596"/>
        </a:xfrm>
        <a:custGeom>
          <a:avLst/>
          <a:gdLst>
            <a:gd name="connsiteX0" fmla="*/ 0 w 1064559"/>
            <a:gd name="connsiteY0" fmla="*/ 0 h 257736"/>
            <a:gd name="connsiteX1" fmla="*/ 1064559 w 1064559"/>
            <a:gd name="connsiteY1" fmla="*/ 257736 h 257736"/>
            <a:gd name="connsiteX2" fmla="*/ 1064559 w 1064559"/>
            <a:gd name="connsiteY2" fmla="*/ 257736 h 257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64559" h="257736">
              <a:moveTo>
                <a:pt x="0" y="0"/>
              </a:moveTo>
              <a:lnTo>
                <a:pt x="1064559" y="257736"/>
              </a:lnTo>
              <a:lnTo>
                <a:pt x="1064559" y="257736"/>
              </a:lnTo>
            </a:path>
          </a:pathLst>
        </a:custGeom>
        <a:noFill/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t" anchorCtr="0"/>
        <a:lstStyle/>
        <a:p>
          <a:pPr algn="r"/>
          <a:fld id="{B6437989-F148-4324-84D3-037121594946}" type="TxLink">
            <a:rPr lang="fr-FR" sz="800">
              <a:ln>
                <a:solidFill>
                  <a:sysClr val="windowText" lastClr="000000"/>
                </a:solidFill>
              </a:ln>
            </a:rPr>
            <a:pPr algn="r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2</xdr:col>
      <xdr:colOff>118760</xdr:colOff>
      <xdr:row>25</xdr:row>
      <xdr:rowOff>96368</xdr:rowOff>
    </xdr:from>
    <xdr:to>
      <xdr:col>3</xdr:col>
      <xdr:colOff>62730</xdr:colOff>
      <xdr:row>28</xdr:row>
      <xdr:rowOff>40338</xdr:rowOff>
    </xdr:to>
    <xdr:sp macro="" textlink="JA!T13" fLocksText="0">
      <xdr:nvSpPr>
        <xdr:cNvPr id="14" name="SH2-DM2"/>
        <xdr:cNvSpPr/>
      </xdr:nvSpPr>
      <xdr:spPr>
        <a:xfrm flipH="1">
          <a:off x="6900560" y="3820643"/>
          <a:ext cx="1191745" cy="372595"/>
        </a:xfrm>
        <a:custGeom>
          <a:avLst/>
          <a:gdLst>
            <a:gd name="connsiteX0" fmla="*/ 0 w 1064559"/>
            <a:gd name="connsiteY0" fmla="*/ 0 h 257736"/>
            <a:gd name="connsiteX1" fmla="*/ 1064559 w 1064559"/>
            <a:gd name="connsiteY1" fmla="*/ 257736 h 257736"/>
            <a:gd name="connsiteX2" fmla="*/ 1064559 w 1064559"/>
            <a:gd name="connsiteY2" fmla="*/ 257736 h 257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64559" h="257736">
              <a:moveTo>
                <a:pt x="0" y="0"/>
              </a:moveTo>
              <a:lnTo>
                <a:pt x="1064559" y="257736"/>
              </a:lnTo>
              <a:lnTo>
                <a:pt x="1064559" y="257736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b" anchorCtr="0"/>
        <a:lstStyle/>
        <a:p>
          <a:pPr algn="l"/>
          <a:fld id="{77D279CB-4CAA-4A3D-B1FA-7FA01DE5B14D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2</xdr:col>
      <xdr:colOff>67234</xdr:colOff>
      <xdr:row>13</xdr:row>
      <xdr:rowOff>0</xdr:rowOff>
    </xdr:from>
    <xdr:to>
      <xdr:col>3</xdr:col>
      <xdr:colOff>89646</xdr:colOff>
      <xdr:row>25</xdr:row>
      <xdr:rowOff>33618</xdr:rowOff>
    </xdr:to>
    <xdr:sp macro="" textlink="JA!T12" fLocksText="0">
      <xdr:nvSpPr>
        <xdr:cNvPr id="15" name="SH2-DM1"/>
        <xdr:cNvSpPr/>
      </xdr:nvSpPr>
      <xdr:spPr>
        <a:xfrm rot="10800000" flipH="1" flipV="1">
          <a:off x="6849034" y="2009775"/>
          <a:ext cx="1270187" cy="1748118"/>
        </a:xfrm>
        <a:custGeom>
          <a:avLst/>
          <a:gdLst>
            <a:gd name="connsiteX0" fmla="*/ 0 w 1266265"/>
            <a:gd name="connsiteY0" fmla="*/ 1781736 h 1781736"/>
            <a:gd name="connsiteX1" fmla="*/ 1266265 w 1266265"/>
            <a:gd name="connsiteY1" fmla="*/ 0 h 1781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1266265" h="1781736">
              <a:moveTo>
                <a:pt x="0" y="1781736"/>
              </a:moveTo>
              <a:lnTo>
                <a:pt x="1266265" y="0"/>
              </a:lnTo>
            </a:path>
          </a:pathLst>
        </a:custGeom>
        <a:noFill/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 anchorCtr="0"/>
        <a:lstStyle/>
        <a:p>
          <a:pPr algn="l"/>
          <a:fld id="{00320675-943F-4882-B6FD-890662ADB084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2</xdr:col>
      <xdr:colOff>80681</xdr:colOff>
      <xdr:row>5</xdr:row>
      <xdr:rowOff>47065</xdr:rowOff>
    </xdr:from>
    <xdr:to>
      <xdr:col>3</xdr:col>
      <xdr:colOff>103093</xdr:colOff>
      <xdr:row>17</xdr:row>
      <xdr:rowOff>69478</xdr:rowOff>
    </xdr:to>
    <xdr:sp macro="" textlink="JA!T11">
      <xdr:nvSpPr>
        <xdr:cNvPr id="16" name="SH1-DM2"/>
        <xdr:cNvSpPr/>
      </xdr:nvSpPr>
      <xdr:spPr>
        <a:xfrm rot="10800000" flipV="1">
          <a:off x="6862481" y="904315"/>
          <a:ext cx="1270187" cy="1746438"/>
        </a:xfrm>
        <a:custGeom>
          <a:avLst/>
          <a:gdLst>
            <a:gd name="connsiteX0" fmla="*/ 0 w 1266265"/>
            <a:gd name="connsiteY0" fmla="*/ 1781736 h 1781736"/>
            <a:gd name="connsiteX1" fmla="*/ 1266265 w 1266265"/>
            <a:gd name="connsiteY1" fmla="*/ 0 h 1781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1266265" h="1781736">
              <a:moveTo>
                <a:pt x="0" y="1781736"/>
              </a:moveTo>
              <a:lnTo>
                <a:pt x="1266265" y="0"/>
              </a:lnTo>
            </a:path>
          </a:pathLst>
        </a:custGeom>
        <a:noFill/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34CDE49-0BEA-4753-990F-3480DEC55386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2</xdr:col>
      <xdr:colOff>100853</xdr:colOff>
      <xdr:row>1</xdr:row>
      <xdr:rowOff>145674</xdr:rowOff>
    </xdr:from>
    <xdr:to>
      <xdr:col>3</xdr:col>
      <xdr:colOff>44823</xdr:colOff>
      <xdr:row>4</xdr:row>
      <xdr:rowOff>89645</xdr:rowOff>
    </xdr:to>
    <xdr:sp macro="" textlink="JA!T10" fLocksText="0">
      <xdr:nvSpPr>
        <xdr:cNvPr id="17" name="SH1-DM1"/>
        <xdr:cNvSpPr/>
      </xdr:nvSpPr>
      <xdr:spPr>
        <a:xfrm>
          <a:off x="6882653" y="431424"/>
          <a:ext cx="1191745" cy="372596"/>
        </a:xfrm>
        <a:custGeom>
          <a:avLst/>
          <a:gdLst>
            <a:gd name="connsiteX0" fmla="*/ 0 w 1064559"/>
            <a:gd name="connsiteY0" fmla="*/ 0 h 257736"/>
            <a:gd name="connsiteX1" fmla="*/ 1064559 w 1064559"/>
            <a:gd name="connsiteY1" fmla="*/ 257736 h 257736"/>
            <a:gd name="connsiteX2" fmla="*/ 1064559 w 1064559"/>
            <a:gd name="connsiteY2" fmla="*/ 257736 h 257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64559" h="257736">
              <a:moveTo>
                <a:pt x="0" y="0"/>
              </a:moveTo>
              <a:lnTo>
                <a:pt x="1064559" y="257736"/>
              </a:lnTo>
              <a:lnTo>
                <a:pt x="1064559" y="257736"/>
              </a:lnTo>
            </a:path>
          </a:pathLst>
        </a:custGeom>
        <a:noFill/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fld id="{A1557907-EB3D-450C-9F85-9871909F3F8E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3</xdr:col>
      <xdr:colOff>717175</xdr:colOff>
      <xdr:row>15</xdr:row>
      <xdr:rowOff>145664</xdr:rowOff>
    </xdr:from>
    <xdr:to>
      <xdr:col>5</xdr:col>
      <xdr:colOff>380998</xdr:colOff>
      <xdr:row>18</xdr:row>
      <xdr:rowOff>89634</xdr:rowOff>
    </xdr:to>
    <xdr:sp macro="" textlink="JA!T9" fLocksText="0">
      <xdr:nvSpPr>
        <xdr:cNvPr id="18" name="DD-DM2"/>
        <xdr:cNvSpPr/>
      </xdr:nvSpPr>
      <xdr:spPr>
        <a:xfrm flipH="1">
          <a:off x="8746750" y="2441189"/>
          <a:ext cx="1187823" cy="372595"/>
        </a:xfrm>
        <a:custGeom>
          <a:avLst/>
          <a:gdLst>
            <a:gd name="connsiteX0" fmla="*/ 0 w 1064559"/>
            <a:gd name="connsiteY0" fmla="*/ 0 h 257736"/>
            <a:gd name="connsiteX1" fmla="*/ 1064559 w 1064559"/>
            <a:gd name="connsiteY1" fmla="*/ 257736 h 257736"/>
            <a:gd name="connsiteX2" fmla="*/ 1064559 w 1064559"/>
            <a:gd name="connsiteY2" fmla="*/ 257736 h 257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64559" h="257736">
              <a:moveTo>
                <a:pt x="0" y="0"/>
              </a:moveTo>
              <a:lnTo>
                <a:pt x="1064559" y="257736"/>
              </a:lnTo>
              <a:lnTo>
                <a:pt x="1064559" y="257736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t" anchorCtr="0"/>
        <a:lstStyle/>
        <a:p>
          <a:pPr algn="r"/>
          <a:fld id="{5A949190-B8D7-488A-B11D-1359C63E5473}" type="TxLink">
            <a:rPr lang="fr-FR" sz="800">
              <a:ln>
                <a:solidFill>
                  <a:sysClr val="windowText" lastClr="000000"/>
                </a:solidFill>
              </a:ln>
            </a:rPr>
            <a:pPr algn="r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3</xdr:col>
      <xdr:colOff>737347</xdr:colOff>
      <xdr:row>11</xdr:row>
      <xdr:rowOff>132233</xdr:rowOff>
    </xdr:from>
    <xdr:to>
      <xdr:col>5</xdr:col>
      <xdr:colOff>401170</xdr:colOff>
      <xdr:row>14</xdr:row>
      <xdr:rowOff>76204</xdr:rowOff>
    </xdr:to>
    <xdr:sp macro="" textlink="JA!T8" fLocksText="0">
      <xdr:nvSpPr>
        <xdr:cNvPr id="19" name="DD-DM1"/>
        <xdr:cNvSpPr/>
      </xdr:nvSpPr>
      <xdr:spPr>
        <a:xfrm>
          <a:off x="8766922" y="1856258"/>
          <a:ext cx="1187823" cy="372596"/>
        </a:xfrm>
        <a:custGeom>
          <a:avLst/>
          <a:gdLst>
            <a:gd name="connsiteX0" fmla="*/ 0 w 1064559"/>
            <a:gd name="connsiteY0" fmla="*/ 0 h 257736"/>
            <a:gd name="connsiteX1" fmla="*/ 1064559 w 1064559"/>
            <a:gd name="connsiteY1" fmla="*/ 257736 h 257736"/>
            <a:gd name="connsiteX2" fmla="*/ 1064559 w 1064559"/>
            <a:gd name="connsiteY2" fmla="*/ 257736 h 257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64559" h="257736">
              <a:moveTo>
                <a:pt x="0" y="0"/>
              </a:moveTo>
              <a:lnTo>
                <a:pt x="1064559" y="257736"/>
              </a:lnTo>
              <a:lnTo>
                <a:pt x="1064559" y="257736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b" anchorCtr="0"/>
        <a:lstStyle/>
        <a:p>
          <a:pPr algn="r"/>
          <a:fld id="{8358C38D-72B4-42C4-9349-59FC671B9001}" type="TxLink">
            <a:rPr lang="fr-FR" sz="800">
              <a:ln>
                <a:solidFill>
                  <a:sysClr val="windowText" lastClr="000000"/>
                </a:solidFill>
              </a:ln>
            </a:rPr>
            <a:pPr algn="r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 editAs="oneCell">
    <xdr:from>
      <xdr:col>6</xdr:col>
      <xdr:colOff>345142</xdr:colOff>
      <xdr:row>19</xdr:row>
      <xdr:rowOff>121024</xdr:rowOff>
    </xdr:from>
    <xdr:to>
      <xdr:col>6</xdr:col>
      <xdr:colOff>357048</xdr:colOff>
      <xdr:row>24</xdr:row>
      <xdr:rowOff>16670</xdr:rowOff>
    </xdr:to>
    <xdr:sp macro="" textlink="JA!T7" fLocksText="0">
      <xdr:nvSpPr>
        <xdr:cNvPr id="20" name="DD-SD2"/>
        <xdr:cNvSpPr/>
      </xdr:nvSpPr>
      <xdr:spPr>
        <a:xfrm>
          <a:off x="5354171" y="3101789"/>
          <a:ext cx="11906" cy="680057"/>
        </a:xfrm>
        <a:custGeom>
          <a:avLst/>
          <a:gdLst>
            <a:gd name="connsiteX0" fmla="*/ 0 w 11906"/>
            <a:gd name="connsiteY0" fmla="*/ 0 h 666750"/>
            <a:gd name="connsiteX1" fmla="*/ 11906 w 11906"/>
            <a:gd name="connsiteY1" fmla="*/ 666750 h 666750"/>
            <a:gd name="connsiteX2" fmla="*/ 11906 w 11906"/>
            <a:gd name="connsiteY2" fmla="*/ 666750 h 666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906" h="666750">
              <a:moveTo>
                <a:pt x="0" y="0"/>
              </a:moveTo>
              <a:lnTo>
                <a:pt x="11906" y="666750"/>
              </a:lnTo>
              <a:lnTo>
                <a:pt x="11906" y="666750"/>
              </a:lnTo>
            </a:path>
          </a:pathLst>
        </a:custGeom>
        <a:noFill/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rtlCol="0" anchor="ctr" anchorCtr="1"/>
        <a:lstStyle/>
        <a:p>
          <a:pPr algn="l"/>
          <a:fld id="{0DBDDB2D-B512-4ACF-B404-DD38425A3839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 editAs="oneCell">
    <xdr:from>
      <xdr:col>6</xdr:col>
      <xdr:colOff>316007</xdr:colOff>
      <xdr:row>5</xdr:row>
      <xdr:rowOff>69476</xdr:rowOff>
    </xdr:from>
    <xdr:to>
      <xdr:col>6</xdr:col>
      <xdr:colOff>327913</xdr:colOff>
      <xdr:row>9</xdr:row>
      <xdr:rowOff>122004</xdr:rowOff>
    </xdr:to>
    <xdr:sp macro="" textlink="JA!T6" fLocksText="0">
      <xdr:nvSpPr>
        <xdr:cNvPr id="21" name="DD-SD1"/>
        <xdr:cNvSpPr/>
      </xdr:nvSpPr>
      <xdr:spPr>
        <a:xfrm>
          <a:off x="10631582" y="926726"/>
          <a:ext cx="11906" cy="664369"/>
        </a:xfrm>
        <a:custGeom>
          <a:avLst/>
          <a:gdLst>
            <a:gd name="connsiteX0" fmla="*/ 0 w 11906"/>
            <a:gd name="connsiteY0" fmla="*/ 0 h 666750"/>
            <a:gd name="connsiteX1" fmla="*/ 11906 w 11906"/>
            <a:gd name="connsiteY1" fmla="*/ 666750 h 666750"/>
            <a:gd name="connsiteX2" fmla="*/ 11906 w 11906"/>
            <a:gd name="connsiteY2" fmla="*/ 666750 h 666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906" h="666750">
              <a:moveTo>
                <a:pt x="0" y="0"/>
              </a:moveTo>
              <a:lnTo>
                <a:pt x="11906" y="666750"/>
              </a:lnTo>
              <a:lnTo>
                <a:pt x="11906" y="666750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rtlCol="0" anchor="ctr" anchorCtr="1"/>
        <a:lstStyle/>
        <a:p>
          <a:pPr algn="l"/>
          <a:fld id="{00D1876F-01B8-4F1E-B3CF-769AE1C1F762}" type="TxLink">
            <a:rPr lang="fr-FR" sz="800" b="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 b="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2</xdr:col>
      <xdr:colOff>85164</xdr:colOff>
      <xdr:row>16</xdr:row>
      <xdr:rowOff>6720</xdr:rowOff>
    </xdr:from>
    <xdr:to>
      <xdr:col>3</xdr:col>
      <xdr:colOff>29134</xdr:colOff>
      <xdr:row>18</xdr:row>
      <xdr:rowOff>96367</xdr:rowOff>
    </xdr:to>
    <xdr:sp macro="" textlink="JA!T5" fLocksText="0">
      <xdr:nvSpPr>
        <xdr:cNvPr id="22" name="DH-DM2"/>
        <xdr:cNvSpPr/>
      </xdr:nvSpPr>
      <xdr:spPr>
        <a:xfrm>
          <a:off x="6866964" y="2445120"/>
          <a:ext cx="1191745" cy="375397"/>
        </a:xfrm>
        <a:custGeom>
          <a:avLst/>
          <a:gdLst>
            <a:gd name="connsiteX0" fmla="*/ 0 w 1064559"/>
            <a:gd name="connsiteY0" fmla="*/ 0 h 257736"/>
            <a:gd name="connsiteX1" fmla="*/ 1064559 w 1064559"/>
            <a:gd name="connsiteY1" fmla="*/ 257736 h 257736"/>
            <a:gd name="connsiteX2" fmla="*/ 1064559 w 1064559"/>
            <a:gd name="connsiteY2" fmla="*/ 257736 h 257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64559" h="257736">
              <a:moveTo>
                <a:pt x="0" y="0"/>
              </a:moveTo>
              <a:lnTo>
                <a:pt x="1064559" y="257736"/>
              </a:lnTo>
              <a:lnTo>
                <a:pt x="1064559" y="257736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t" anchorCtr="0"/>
        <a:lstStyle/>
        <a:p>
          <a:pPr algn="l"/>
          <a:fld id="{128907FA-E8D0-47FD-AF08-866701A2B917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2</xdr:col>
      <xdr:colOff>100830</xdr:colOff>
      <xdr:row>12</xdr:row>
      <xdr:rowOff>56031</xdr:rowOff>
    </xdr:from>
    <xdr:to>
      <xdr:col>3</xdr:col>
      <xdr:colOff>44800</xdr:colOff>
      <xdr:row>15</xdr:row>
      <xdr:rowOff>2</xdr:rowOff>
    </xdr:to>
    <xdr:sp macro="" textlink="JA!T4" fLocksText="0">
      <xdr:nvSpPr>
        <xdr:cNvPr id="23" name="DH-DM1"/>
        <xdr:cNvSpPr/>
      </xdr:nvSpPr>
      <xdr:spPr>
        <a:xfrm flipH="1">
          <a:off x="6882630" y="1922931"/>
          <a:ext cx="1191745" cy="372596"/>
        </a:xfrm>
        <a:custGeom>
          <a:avLst/>
          <a:gdLst>
            <a:gd name="connsiteX0" fmla="*/ 0 w 1064559"/>
            <a:gd name="connsiteY0" fmla="*/ 0 h 257736"/>
            <a:gd name="connsiteX1" fmla="*/ 1064559 w 1064559"/>
            <a:gd name="connsiteY1" fmla="*/ 257736 h 257736"/>
            <a:gd name="connsiteX2" fmla="*/ 1064559 w 1064559"/>
            <a:gd name="connsiteY2" fmla="*/ 257736 h 2577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64559" h="257736">
              <a:moveTo>
                <a:pt x="0" y="0"/>
              </a:moveTo>
              <a:lnTo>
                <a:pt x="1064559" y="257736"/>
              </a:lnTo>
              <a:lnTo>
                <a:pt x="1064559" y="257736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b" anchorCtr="0"/>
        <a:lstStyle/>
        <a:p>
          <a:pPr algn="l"/>
          <a:fld id="{C0022344-A107-426F-A73D-F0868814FC56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 editAs="oneCell">
    <xdr:from>
      <xdr:col>1</xdr:col>
      <xdr:colOff>298077</xdr:colOff>
      <xdr:row>20</xdr:row>
      <xdr:rowOff>40341</xdr:rowOff>
    </xdr:from>
    <xdr:to>
      <xdr:col>1</xdr:col>
      <xdr:colOff>309983</xdr:colOff>
      <xdr:row>24</xdr:row>
      <xdr:rowOff>92869</xdr:rowOff>
    </xdr:to>
    <xdr:sp macro="" textlink="JA!T3" fLocksText="0">
      <xdr:nvSpPr>
        <xdr:cNvPr id="24" name="DH-SH2"/>
        <xdr:cNvSpPr/>
      </xdr:nvSpPr>
      <xdr:spPr>
        <a:xfrm>
          <a:off x="835959" y="3177988"/>
          <a:ext cx="11906" cy="680057"/>
        </a:xfrm>
        <a:custGeom>
          <a:avLst/>
          <a:gdLst>
            <a:gd name="connsiteX0" fmla="*/ 0 w 11906"/>
            <a:gd name="connsiteY0" fmla="*/ 0 h 666750"/>
            <a:gd name="connsiteX1" fmla="*/ 11906 w 11906"/>
            <a:gd name="connsiteY1" fmla="*/ 666750 h 666750"/>
            <a:gd name="connsiteX2" fmla="*/ 11906 w 11906"/>
            <a:gd name="connsiteY2" fmla="*/ 666750 h 666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906" h="666750">
              <a:moveTo>
                <a:pt x="0" y="0"/>
              </a:moveTo>
              <a:lnTo>
                <a:pt x="11906" y="666750"/>
              </a:lnTo>
              <a:lnTo>
                <a:pt x="11906" y="666750"/>
              </a:lnTo>
            </a:path>
          </a:pathLst>
        </a:custGeom>
        <a:noFill/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rtlCol="0" anchor="ctr" anchorCtr="1"/>
        <a:lstStyle/>
        <a:p>
          <a:pPr algn="l"/>
          <a:fld id="{0742F925-1614-4966-BAFE-9FDBFD98810B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 editAs="oneCell">
    <xdr:from>
      <xdr:col>1</xdr:col>
      <xdr:colOff>291353</xdr:colOff>
      <xdr:row>5</xdr:row>
      <xdr:rowOff>123264</xdr:rowOff>
    </xdr:from>
    <xdr:to>
      <xdr:col>1</xdr:col>
      <xdr:colOff>303259</xdr:colOff>
      <xdr:row>10</xdr:row>
      <xdr:rowOff>18909</xdr:rowOff>
    </xdr:to>
    <xdr:sp macro="" textlink="JA!T2" fLocksText="0">
      <xdr:nvSpPr>
        <xdr:cNvPr id="25" name="DH-SH1"/>
        <xdr:cNvSpPr/>
      </xdr:nvSpPr>
      <xdr:spPr>
        <a:xfrm>
          <a:off x="829235" y="907676"/>
          <a:ext cx="11906" cy="680057"/>
        </a:xfrm>
        <a:custGeom>
          <a:avLst/>
          <a:gdLst>
            <a:gd name="connsiteX0" fmla="*/ 0 w 11906"/>
            <a:gd name="connsiteY0" fmla="*/ 0 h 666750"/>
            <a:gd name="connsiteX1" fmla="*/ 11906 w 11906"/>
            <a:gd name="connsiteY1" fmla="*/ 666750 h 666750"/>
            <a:gd name="connsiteX2" fmla="*/ 11906 w 11906"/>
            <a:gd name="connsiteY2" fmla="*/ 666750 h 666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906" h="666750">
              <a:moveTo>
                <a:pt x="0" y="0"/>
              </a:moveTo>
              <a:lnTo>
                <a:pt x="11906" y="666750"/>
              </a:lnTo>
              <a:lnTo>
                <a:pt x="11906" y="666750"/>
              </a:lnTo>
            </a:path>
          </a:pathLst>
        </a:custGeom>
        <a:noFill/>
        <a:ln w="25400" cap="flat" cmpd="sng" algn="ctr">
          <a:solidFill>
            <a:schemeClr val="accent1">
              <a:shade val="50000"/>
            </a:schemeClr>
          </a:solidFill>
          <a:prstDash val="soli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rtlCol="0" anchor="ctr" anchorCtr="1"/>
        <a:lstStyle/>
        <a:p>
          <a:pPr algn="l"/>
          <a:fld id="{59537AF7-B6DA-4E90-A8D8-6D55C6D7D8F8}" type="TxLink">
            <a:rPr lang="fr-FR" sz="800">
              <a:ln>
                <a:solidFill>
                  <a:sysClr val="windowText" lastClr="000000"/>
                </a:solidFill>
              </a:ln>
            </a:rPr>
            <a:pPr algn="l"/>
            <a:t>#REF!</a:t>
          </a:fld>
          <a:endParaRPr lang="fr-FR" sz="8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pageSetUpPr fitToPage="1"/>
  </sheetPr>
  <dimension ref="A1:Q39"/>
  <sheetViews>
    <sheetView zoomScaleNormal="100" workbookViewId="0">
      <selection activeCell="A31" sqref="A1:XFD1048576"/>
    </sheetView>
  </sheetViews>
  <sheetFormatPr baseColWidth="10" defaultRowHeight="15"/>
  <sheetData>
    <row r="1" spans="1:17" ht="15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ht="15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5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5" customHeigh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15" customHeight="1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1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15" customHeight="1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15" customHeight="1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15" customHeigh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15" customHeigh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5" customHeight="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5" customHeight="1">
      <c r="A14" s="155" t="e">
        <f ca="1">INDIRECT(Réservé!N5&amp;"C13")</f>
        <v>#REF!</v>
      </c>
      <c r="B14" s="156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</row>
    <row r="15" spans="1:17" ht="15" customHeight="1">
      <c r="A15" s="156"/>
      <c r="B15" s="15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</row>
    <row r="16" spans="1:17" ht="15" customHeight="1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</row>
    <row r="17" spans="1:17" ht="15" customHeight="1">
      <c r="A17" s="156"/>
      <c r="B17" s="156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</row>
    <row r="18" spans="1:17" ht="15" customHeight="1">
      <c r="A18" s="156"/>
      <c r="B18" s="156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</row>
    <row r="19" spans="1:17" ht="15" customHeight="1">
      <c r="A19" s="156"/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</row>
    <row r="20" spans="1:17" ht="15" customHeight="1">
      <c r="A20" s="156"/>
      <c r="B20" s="156"/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</row>
    <row r="21" spans="1:17" ht="15" customHeight="1">
      <c r="A21" s="156"/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</row>
    <row r="22" spans="1:17" ht="15" customHeight="1">
      <c r="A22" s="156"/>
      <c r="B22" s="156"/>
      <c r="C22" s="156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</row>
    <row r="23" spans="1:17" ht="15" customHeight="1">
      <c r="F23" s="13"/>
      <c r="G23" s="13"/>
      <c r="H23" s="13"/>
      <c r="I23" s="13"/>
      <c r="J23" s="13"/>
      <c r="K23" s="13"/>
      <c r="L23" s="13"/>
      <c r="M23" s="13"/>
    </row>
    <row r="24" spans="1:17" ht="15" customHeight="1">
      <c r="F24" s="13"/>
      <c r="G24" s="13"/>
      <c r="H24" s="13"/>
      <c r="I24" s="13"/>
      <c r="J24" s="13"/>
      <c r="K24" s="13"/>
      <c r="L24" s="13"/>
      <c r="M24" s="13"/>
    </row>
    <row r="31" spans="1:17">
      <c r="A31" s="157" t="e">
        <f ca="1">INDIRECT(Réservé!N5&amp;"I13")</f>
        <v>#REF!</v>
      </c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</row>
    <row r="32" spans="1:17">
      <c r="A32" s="157"/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</row>
    <row r="33" spans="1:17">
      <c r="A33" s="157"/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</row>
    <row r="34" spans="1:17">
      <c r="A34" s="157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</row>
    <row r="35" spans="1:17">
      <c r="A35" s="157"/>
      <c r="B35" s="157"/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</row>
    <row r="36" spans="1:17">
      <c r="A36" s="157"/>
      <c r="B36" s="157"/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</row>
    <row r="37" spans="1:17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</row>
    <row r="38" spans="1:17">
      <c r="A38" s="157"/>
      <c r="B38" s="157"/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</row>
    <row r="39" spans="1:17">
      <c r="A39" s="157"/>
      <c r="B39" s="157"/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</row>
  </sheetData>
  <sheetProtection selectLockedCells="1" selectUnlockedCells="1"/>
  <dataConsolidate/>
  <mergeCells count="2">
    <mergeCell ref="A14:Q22"/>
    <mergeCell ref="A31:Q39"/>
  </mergeCells>
  <pageMargins left="0.70866141732283472" right="0.11811023622047245" top="0" bottom="0" header="0" footer="0.39370078740157483"/>
  <pageSetup paperSize="9" scale="71" orientation="landscape" r:id="rId1"/>
  <headerFooter>
    <oddFooter>Page &amp;P de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39"/>
  <sheetViews>
    <sheetView zoomScale="55" zoomScaleNormal="55" workbookViewId="0">
      <selection activeCell="U16" sqref="U16"/>
    </sheetView>
  </sheetViews>
  <sheetFormatPr baseColWidth="10" defaultRowHeight="15"/>
  <sheetData>
    <row r="1" spans="1:17" ht="15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ht="15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5" customHeigh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5" customHeigh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15" customHeight="1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1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15" customHeight="1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15" customHeight="1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15" customHeigh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15" customHeigh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5" customHeight="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5" customHeight="1">
      <c r="A14" s="155" t="e">
        <f ca="1">INDIRECT(Réservé!N5&amp;"C13")</f>
        <v>#REF!</v>
      </c>
      <c r="B14" s="156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</row>
    <row r="15" spans="1:17" ht="15" customHeight="1">
      <c r="A15" s="156"/>
      <c r="B15" s="15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</row>
    <row r="16" spans="1:17" ht="15" customHeight="1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</row>
    <row r="17" spans="1:17" ht="15" customHeight="1">
      <c r="A17" s="156"/>
      <c r="B17" s="156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</row>
    <row r="18" spans="1:17" ht="15" customHeight="1">
      <c r="A18" s="156"/>
      <c r="B18" s="156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</row>
    <row r="19" spans="1:17" ht="15" customHeight="1">
      <c r="A19" s="156"/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</row>
    <row r="20" spans="1:17" ht="15" customHeight="1">
      <c r="A20" s="156"/>
      <c r="B20" s="156"/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</row>
    <row r="21" spans="1:17" ht="15" customHeight="1">
      <c r="A21" s="156"/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</row>
    <row r="22" spans="1:17" ht="15" customHeight="1">
      <c r="A22" s="156"/>
      <c r="B22" s="156"/>
      <c r="C22" s="156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</row>
    <row r="23" spans="1:17" ht="15" customHeight="1">
      <c r="F23" s="13"/>
      <c r="G23" s="13"/>
      <c r="H23" s="13"/>
      <c r="I23" s="13"/>
      <c r="J23" s="13"/>
      <c r="K23" s="13"/>
      <c r="L23" s="13"/>
      <c r="M23" s="13"/>
    </row>
    <row r="24" spans="1:17" ht="15" customHeight="1">
      <c r="F24" s="13"/>
      <c r="G24" s="13"/>
      <c r="H24" s="13"/>
      <c r="I24" s="13"/>
      <c r="J24" s="13"/>
      <c r="K24" s="13"/>
      <c r="L24" s="13"/>
      <c r="M24" s="13"/>
    </row>
    <row r="31" spans="1:17">
      <c r="A31" s="157" t="e">
        <f ca="1">INDIRECT(Réservé!N5&amp;"I13")</f>
        <v>#REF!</v>
      </c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</row>
    <row r="32" spans="1:17">
      <c r="A32" s="157"/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</row>
    <row r="33" spans="1:17">
      <c r="A33" s="157"/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</row>
    <row r="34" spans="1:17">
      <c r="A34" s="157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</row>
    <row r="35" spans="1:17">
      <c r="A35" s="157"/>
      <c r="B35" s="157"/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</row>
    <row r="36" spans="1:17">
      <c r="A36" s="157"/>
      <c r="B36" s="157"/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</row>
    <row r="37" spans="1:17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</row>
    <row r="38" spans="1:17">
      <c r="A38" s="157"/>
      <c r="B38" s="157"/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</row>
    <row r="39" spans="1:17">
      <c r="A39" s="157"/>
      <c r="B39" s="157"/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</row>
  </sheetData>
  <sheetProtection selectLockedCells="1" selectUnlockedCells="1"/>
  <dataConsolidate/>
  <mergeCells count="2">
    <mergeCell ref="A14:Q22"/>
    <mergeCell ref="A31:Q39"/>
  </mergeCells>
  <pageMargins left="0.70866141732283472" right="0.11811023622047245" top="0" bottom="0" header="0" footer="0.39370078740157483"/>
  <pageSetup paperSize="9" scale="71" orientation="landscape" r:id="rId1"/>
  <headerFooter>
    <oddFooter>Page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I23"/>
  <sheetViews>
    <sheetView topLeftCell="A2" zoomScaleNormal="100" workbookViewId="0">
      <selection activeCell="G2" sqref="G2"/>
    </sheetView>
  </sheetViews>
  <sheetFormatPr baseColWidth="10" defaultRowHeight="36"/>
  <cols>
    <col min="1" max="1" width="9.7109375" style="130" customWidth="1"/>
    <col min="2" max="3" width="45.7109375" style="130" customWidth="1"/>
    <col min="4" max="4" width="12.28515625" style="130" customWidth="1"/>
    <col min="5" max="5" width="2.42578125" style="130" customWidth="1"/>
    <col min="6" max="7" width="45.7109375" style="130" customWidth="1"/>
    <col min="8" max="8" width="13.85546875" style="130" customWidth="1"/>
    <col min="9" max="9" width="1.5703125" style="130" customWidth="1"/>
    <col min="10" max="10" width="11.42578125" style="130"/>
    <col min="11" max="11" width="13.5703125" style="130" bestFit="1" customWidth="1"/>
    <col min="12" max="16384" width="11.42578125" style="130"/>
  </cols>
  <sheetData>
    <row r="1" spans="1:9">
      <c r="F1" s="137" t="s">
        <v>91</v>
      </c>
      <c r="G1" s="138" t="s">
        <v>104</v>
      </c>
      <c r="H1" s="138" t="s">
        <v>99</v>
      </c>
    </row>
    <row r="2" spans="1:9">
      <c r="F2" s="139" t="e">
        <f ca="1">INDEX(Résultats!P:P,MATCH(G2,Résultats!N:N,0))</f>
        <v>#REF!</v>
      </c>
      <c r="G2" s="146" t="e">
        <f ca="1">INDEX(Résultats!N:N,MATCH(ROW()-1,Résultats!Q:Q,0))</f>
        <v>#REF!</v>
      </c>
      <c r="H2" s="135" t="e">
        <f ca="1">INDEX(Résultats!O:O,MATCH(G2,Résultats!N:N,0))</f>
        <v>#REF!</v>
      </c>
    </row>
    <row r="3" spans="1:9">
      <c r="F3" s="140" t="e">
        <f ca="1">INDEX(Résultats!P:P,MATCH(G3,Résultats!N:N,0))</f>
        <v>#REF!</v>
      </c>
      <c r="G3" s="147" t="e">
        <f ca="1">INDEX(Résultats!N:N,MATCH(ROW()-1,Résultats!Q:Q,0))</f>
        <v>#REF!</v>
      </c>
      <c r="H3" s="136" t="e">
        <f ca="1">INDEX(Résultats!O:O,MATCH(G3,Résultats!N:N,0))</f>
        <v>#REF!</v>
      </c>
    </row>
    <row r="4" spans="1:9">
      <c r="F4" s="140" t="e">
        <f ca="1">INDEX(Résultats!P:P,MATCH(G4,Résultats!N:N,0))</f>
        <v>#REF!</v>
      </c>
      <c r="G4" s="147" t="e">
        <f ca="1">INDEX(Résultats!N:N,MATCH(ROW()-1,Résultats!Q:Q,0))</f>
        <v>#REF!</v>
      </c>
      <c r="H4" s="136" t="e">
        <f ca="1">INDEX(Résultats!O:O,MATCH(G4,Résultats!N:N,0))</f>
        <v>#REF!</v>
      </c>
    </row>
    <row r="5" spans="1:9">
      <c r="F5" s="139" t="e">
        <f ca="1">INDEX(Résultats!P:P,MATCH(G5,Résultats!N:N,0))</f>
        <v>#REF!</v>
      </c>
      <c r="G5" s="146" t="e">
        <f ca="1">INDEX(Résultats!N:N,MATCH(ROW()-1,Résultats!Q:Q,0))</f>
        <v>#REF!</v>
      </c>
      <c r="H5" s="135" t="e">
        <f ca="1">INDEX(Résultats!O:O,MATCH(G5,Résultats!N:N,0))</f>
        <v>#REF!</v>
      </c>
    </row>
    <row r="6" spans="1:9">
      <c r="F6" s="139" t="e">
        <f ca="1">INDEX(Résultats!P:P,MATCH(G6,Résultats!N:N,0))</f>
        <v>#REF!</v>
      </c>
      <c r="G6" s="146" t="e">
        <f ca="1">INDEX(Résultats!N:N,MATCH(ROW()-1,Résultats!Q:Q,0))</f>
        <v>#REF!</v>
      </c>
      <c r="H6" s="135" t="e">
        <f ca="1">INDEX(Résultats!O:O,MATCH(G6,Résultats!N:N,0))</f>
        <v>#REF!</v>
      </c>
    </row>
    <row r="7" spans="1:9">
      <c r="F7" s="139" t="e">
        <f ca="1">INDEX(Résultats!P:P,MATCH(G7,Résultats!N:N,0))</f>
        <v>#REF!</v>
      </c>
      <c r="G7" s="146" t="e">
        <f ca="1">INDEX(Résultats!N:N,MATCH(ROW()-1,Résultats!Q:Q,0))</f>
        <v>#REF!</v>
      </c>
      <c r="H7" s="135" t="e">
        <f ca="1">INDEX(Résultats!O:O,MATCH(G7,Résultats!N:N,0))</f>
        <v>#REF!</v>
      </c>
    </row>
    <row r="8" spans="1:9">
      <c r="C8" s="131"/>
      <c r="F8" s="132"/>
    </row>
    <row r="9" spans="1:9">
      <c r="C9" s="131" t="s">
        <v>107</v>
      </c>
      <c r="D9" s="131" t="s">
        <v>108</v>
      </c>
      <c r="G9" s="132" t="s">
        <v>107</v>
      </c>
      <c r="H9" s="142"/>
    </row>
    <row r="10" spans="1:9">
      <c r="A10" s="133">
        <v>1</v>
      </c>
      <c r="B10" s="143" t="e">
        <f ca="1">INDIRECT(Réservé!N$5&amp;"C13")</f>
        <v>#REF!</v>
      </c>
      <c r="C10" s="143" t="e">
        <f t="array" aca="1" ref="C10" ca="1">INDEX(Résultats!$E:$F,E10,3-MATCH($B10,INDIRECT("Résultats!E"&amp;E10&amp;":F"&amp;E10),0))</f>
        <v>#N/A</v>
      </c>
      <c r="D10" s="131" t="e">
        <f t="array" aca="1" ref="D10" ca="1">INDEX(Résultats!$G:$H,E10,MATCH($B$10,INDIRECT("Résultats!E"&amp;E10&amp;":F"&amp;E10),0))&amp;" - "&amp;INDEX(Résultats!$G:$H,E10,3-MATCH($B$10,INDIRECT("Résultats!E"&amp;E10&amp;":F"&amp;E10),0))</f>
        <v>#N/A</v>
      </c>
      <c r="E10" s="141" t="e">
        <f t="array" ref="E10" ca="1">MATCH(1,((Résultats!$E:$E=$B10)+(Résultats!$F:$F=$B10))*(Résultats!$D:$D="J01"),0)</f>
        <v>#N/A</v>
      </c>
      <c r="F10" s="144" t="e">
        <f ca="1">INDIRECT(Réservé!N$5&amp;"I13")</f>
        <v>#REF!</v>
      </c>
      <c r="G10" s="145" t="e">
        <f t="array" aca="1" ref="G10" ca="1">INDEX(Résultats!$E:$F,I10,3-MATCH($F10,INDIRECT("Résultats!E"&amp;I10&amp;":F"&amp;I10),0))</f>
        <v>#N/A</v>
      </c>
      <c r="H10" s="132" t="e">
        <f t="array" aca="1" ref="H10" ca="1">INDEX(Résultats!$G:$H,I10,MATCH($F$10,INDIRECT("Résultats!E"&amp;I10&amp;":F"&amp;I10),0))&amp;" - "&amp;INDEX(Résultats!$G:$H,I10,3-MATCH($F$10,INDIRECT("Résultats!E"&amp;I10&amp;":F"&amp;I10),0))</f>
        <v>#N/A</v>
      </c>
      <c r="I10" s="134" t="e">
        <f t="array" aca="1" ref="I10" ca="1">MATCH(1,((Résultats!$E:$E=$F10)+(Résultats!$F:$F=$F10))*(Résultats!$D:$D="J01"),0)</f>
        <v>#N/A</v>
      </c>
    </row>
    <row r="11" spans="1:9">
      <c r="A11" s="133">
        <f t="shared" ref="A11:A19" si="0">A10+1</f>
        <v>2</v>
      </c>
      <c r="B11" s="143" t="e">
        <f ca="1">INDIRECT(Réservé!N$5&amp;"C13")</f>
        <v>#REF!</v>
      </c>
      <c r="C11" s="143" t="e">
        <f t="array" aca="1" ref="C11" ca="1">INDEX(Résultats!$E:$F,E11,3-MATCH($B11,INDIRECT("Résultats!E"&amp;E11&amp;":F"&amp;E11),0))</f>
        <v>#N/A</v>
      </c>
      <c r="D11" s="131" t="e">
        <f t="array" aca="1" ref="D11" ca="1">INDEX(Résultats!$G:$H,E11,MATCH($B$10,INDIRECT("Résultats!E"&amp;E11&amp;":F"&amp;E11),0))&amp;" - "&amp;INDEX(Résultats!$G:$H,E11,3-MATCH($B$10,INDIRECT("Résultats!E"&amp;E11&amp;":F"&amp;E11),0))</f>
        <v>#N/A</v>
      </c>
      <c r="E11" s="141" t="e">
        <f t="array" aca="1" ref="E11" ca="1">MATCH(1,((Résultats!$E:$E=$B11)+(Résultats!$F:$F=$B11))*(Résultats!$D:$D="J02"),0)</f>
        <v>#N/A</v>
      </c>
      <c r="F11" s="144" t="e">
        <f ca="1">INDIRECT(Réservé!N$5&amp;"I13")</f>
        <v>#REF!</v>
      </c>
      <c r="G11" s="145" t="e">
        <f t="array" aca="1" ref="G11" ca="1">INDEX(Résultats!$E:$F,I11,3-MATCH($F11,INDIRECT("Résultats!E"&amp;I11&amp;":F"&amp;I11),0))</f>
        <v>#N/A</v>
      </c>
      <c r="H11" s="132" t="e">
        <f t="array" aca="1" ref="H11" ca="1">INDEX(Résultats!$G:$H,I11,MATCH($F$10,INDIRECT("Résultats!E"&amp;I11&amp;":F"&amp;I11),0))&amp;" - "&amp;INDEX(Résultats!$G:$H,I11,3-MATCH($F$10,INDIRECT("Résultats!E"&amp;I11&amp;":F"&amp;I11),0))</f>
        <v>#N/A</v>
      </c>
      <c r="I11" s="134" t="e">
        <f t="array" aca="1" ref="I11" ca="1">MATCH(1,((Résultats!$E:$E=$F11)+(Résultats!$F:$F=$F11))*(Résultats!$D:$D="J02"),0)</f>
        <v>#N/A</v>
      </c>
    </row>
    <row r="12" spans="1:9">
      <c r="A12" s="133">
        <f t="shared" si="0"/>
        <v>3</v>
      </c>
      <c r="B12" s="143" t="e">
        <f ca="1">INDIRECT(Réservé!N$5&amp;"C13")</f>
        <v>#REF!</v>
      </c>
      <c r="C12" s="143" t="e">
        <f t="array" aca="1" ref="C12" ca="1">INDEX(Résultats!$E:$F,E12,3-MATCH($B12,INDIRECT("Résultats!E"&amp;E12&amp;":F"&amp;E12),0))</f>
        <v>#N/A</v>
      </c>
      <c r="D12" s="131" t="e">
        <f t="array" aca="1" ref="D12" ca="1">INDEX(Résultats!$G:$H,E12,MATCH($B$10,INDIRECT("Résultats!E"&amp;E12&amp;":F"&amp;E12),0))&amp;" - "&amp;INDEX(Résultats!$G:$H,E12,3-MATCH($B$10,INDIRECT("Résultats!E"&amp;E12&amp;":F"&amp;E12),0))</f>
        <v>#N/A</v>
      </c>
      <c r="E12" s="141" t="e">
        <f t="array" aca="1" ref="E12" ca="1">MATCH(1,((Résultats!$E:$E=$B12)+(Résultats!$F:$F=$B12))*(Résultats!$D:$D="J03"),0)</f>
        <v>#N/A</v>
      </c>
      <c r="F12" s="144" t="e">
        <f ca="1">INDIRECT(Réservé!N$5&amp;"I13")</f>
        <v>#REF!</v>
      </c>
      <c r="G12" s="145" t="e">
        <f t="array" aca="1" ref="G12" ca="1">INDEX(Résultats!$E:$F,I12,3-MATCH($F12,INDIRECT("Résultats!E"&amp;I12&amp;":F"&amp;I12),0))</f>
        <v>#N/A</v>
      </c>
      <c r="H12" s="132" t="e">
        <f t="array" aca="1" ref="H12" ca="1">INDEX(Résultats!$G:$H,I12,MATCH($F$10,INDIRECT("Résultats!E"&amp;I12&amp;":F"&amp;I12),0))&amp;" - "&amp;INDEX(Résultats!$G:$H,I12,3-MATCH($F$10,INDIRECT("Résultats!E"&amp;I12&amp;":F"&amp;I12),0))</f>
        <v>#N/A</v>
      </c>
      <c r="I12" s="134" t="e">
        <f t="array" aca="1" ref="I12" ca="1">MATCH(1,((Résultats!$E:$E=$F12)+(Résultats!$F:$F=$F12))*(Résultats!$D:$D="J03"),0)</f>
        <v>#N/A</v>
      </c>
    </row>
    <row r="13" spans="1:9">
      <c r="A13" s="133">
        <f t="shared" si="0"/>
        <v>4</v>
      </c>
      <c r="B13" s="143" t="e">
        <f ca="1">INDIRECT(Réservé!N$5&amp;"C13")</f>
        <v>#REF!</v>
      </c>
      <c r="C13" s="143" t="e">
        <f t="array" aca="1" ref="C13" ca="1">INDEX(Résultats!$E:$F,E13,3-MATCH($B13,INDIRECT("Résultats!E"&amp;E13&amp;":F"&amp;E13),0))</f>
        <v>#N/A</v>
      </c>
      <c r="D13" s="131" t="e">
        <f t="array" aca="1" ref="D13" ca="1">INDEX(Résultats!$G:$H,E13,MATCH($B$10,INDIRECT("Résultats!E"&amp;E13&amp;":F"&amp;E13),0))&amp;" - "&amp;INDEX(Résultats!$G:$H,E13,3-MATCH($B$10,INDIRECT("Résultats!E"&amp;E13&amp;":F"&amp;E13),0))</f>
        <v>#N/A</v>
      </c>
      <c r="E13" s="141" t="e">
        <f t="array" aca="1" ref="E13" ca="1">MATCH(1,((Résultats!$E:$E=$B13)+(Résultats!$F:$F=$B13))*(Résultats!$D:$D="J04"),0)</f>
        <v>#N/A</v>
      </c>
      <c r="F13" s="144" t="e">
        <f ca="1">INDIRECT(Réservé!N$5&amp;"I13")</f>
        <v>#REF!</v>
      </c>
      <c r="G13" s="145" t="e">
        <f t="array" aca="1" ref="G13" ca="1">INDEX(Résultats!$E:$F,I13,3-MATCH($F13,INDIRECT("Résultats!E"&amp;I13&amp;":F"&amp;I13),0))</f>
        <v>#N/A</v>
      </c>
      <c r="H13" s="132" t="e">
        <f t="array" aca="1" ref="H13" ca="1">INDEX(Résultats!$G:$H,I13,MATCH($F$10,INDIRECT("Résultats!E"&amp;I13&amp;":F"&amp;I13),0))&amp;" - "&amp;INDEX(Résultats!$G:$H,I13,3-MATCH($F$10,INDIRECT("Résultats!E"&amp;I13&amp;":F"&amp;I13),0))</f>
        <v>#N/A</v>
      </c>
      <c r="I13" s="134" t="e">
        <f t="array" aca="1" ref="I13" ca="1">MATCH(1,((Résultats!$E:$E=$F13)+(Résultats!$F:$F=$F13))*(Résultats!$D:$D="J04"),0)</f>
        <v>#N/A</v>
      </c>
    </row>
    <row r="14" spans="1:9">
      <c r="A14" s="133">
        <f t="shared" si="0"/>
        <v>5</v>
      </c>
      <c r="B14" s="143" t="e">
        <f ca="1">INDIRECT(Réservé!N$5&amp;"C13")</f>
        <v>#REF!</v>
      </c>
      <c r="C14" s="143" t="e">
        <f t="array" aca="1" ref="C14" ca="1">INDEX(Résultats!$E:$F,E14,3-MATCH($B14,INDIRECT("Résultats!E"&amp;E14&amp;":F"&amp;E14),0))</f>
        <v>#N/A</v>
      </c>
      <c r="D14" s="131" t="e">
        <f t="array" aca="1" ref="D14" ca="1">INDEX(Résultats!$G:$H,E14,MATCH($B$10,INDIRECT("Résultats!E"&amp;E14&amp;":F"&amp;E14),0))&amp;" - "&amp;INDEX(Résultats!$G:$H,E14,3-MATCH($B$10,INDIRECT("Résultats!E"&amp;E14&amp;":F"&amp;E14),0))</f>
        <v>#N/A</v>
      </c>
      <c r="E14" s="141" t="e">
        <f t="array" aca="1" ref="E14" ca="1">MATCH(1,((Résultats!$E:$E=$B14)+(Résultats!$F:$F=$B14))*(Résultats!$D:$D="J05"),0)</f>
        <v>#N/A</v>
      </c>
      <c r="F14" s="144" t="e">
        <f ca="1">INDIRECT(Réservé!N$5&amp;"I13")</f>
        <v>#REF!</v>
      </c>
      <c r="G14" s="145" t="e">
        <f t="array" aca="1" ref="G14" ca="1">INDEX(Résultats!$E:$F,I14,3-MATCH($F14,INDIRECT("Résultats!E"&amp;I14&amp;":F"&amp;I14),0))</f>
        <v>#N/A</v>
      </c>
      <c r="H14" s="132" t="e">
        <f t="array" aca="1" ref="H14" ca="1">INDEX(Résultats!$G:$H,I14,MATCH($F$10,INDIRECT("Résultats!E"&amp;I14&amp;":F"&amp;I14),0))&amp;" - "&amp;INDEX(Résultats!$G:$H,I14,3-MATCH($F$10,INDIRECT("Résultats!E"&amp;I14&amp;":F"&amp;I14),0))</f>
        <v>#N/A</v>
      </c>
      <c r="I14" s="134" t="e">
        <f t="array" aca="1" ref="I14" ca="1">MATCH(1,((Résultats!$E:$E=$F14)+(Résultats!$F:$F=$F14))*(Résultats!$D:$D="J05"),0)</f>
        <v>#N/A</v>
      </c>
    </row>
    <row r="15" spans="1:9">
      <c r="A15" s="133">
        <f t="shared" si="0"/>
        <v>6</v>
      </c>
      <c r="B15" s="143" t="e">
        <f ca="1">INDIRECT(Réservé!N$5&amp;"C13")</f>
        <v>#REF!</v>
      </c>
      <c r="C15" s="143" t="e">
        <f t="array" aca="1" ref="C15" ca="1">INDEX(Résultats!$E:$F,E15,3-MATCH($B15,INDIRECT("Résultats!E"&amp;E15&amp;":F"&amp;E15),0))</f>
        <v>#N/A</v>
      </c>
      <c r="D15" s="131" t="e">
        <f t="array" aca="1" ref="D15" ca="1">INDEX(Résultats!$G:$H,E15,MATCH($B$10,INDIRECT("Résultats!E"&amp;E15&amp;":F"&amp;E15),0))&amp;" - "&amp;INDEX(Résultats!$G:$H,E15,3-MATCH($B$10,INDIRECT("Résultats!E"&amp;E15&amp;":F"&amp;E15),0))</f>
        <v>#N/A</v>
      </c>
      <c r="E15" s="141" t="e">
        <f t="array" aca="1" ref="E15" ca="1">MATCH(1,((Résultats!$E:$E=$B15)+(Résultats!$F:$F=$B15))*(Résultats!$D:$D="J06"),0)</f>
        <v>#N/A</v>
      </c>
      <c r="F15" s="144" t="e">
        <f ca="1">INDIRECT(Réservé!N$5&amp;"I13")</f>
        <v>#REF!</v>
      </c>
      <c r="G15" s="145" t="e">
        <f t="array" aca="1" ref="G15" ca="1">INDEX(Résultats!$E:$F,I15,3-MATCH($F15,INDIRECT("Résultats!E"&amp;I15&amp;":F"&amp;I15),0))</f>
        <v>#N/A</v>
      </c>
      <c r="H15" s="132" t="e">
        <f t="array" aca="1" ref="H15" ca="1">INDEX(Résultats!$G:$H,I15,MATCH($F$10,INDIRECT("Résultats!E"&amp;I15&amp;":F"&amp;I15),0))&amp;" - "&amp;INDEX(Résultats!$G:$H,I15,3-MATCH($F$10,INDIRECT("Résultats!E"&amp;I15&amp;":F"&amp;I15),0))</f>
        <v>#N/A</v>
      </c>
      <c r="I15" s="134" t="e">
        <f t="array" aca="1" ref="I15" ca="1">MATCH(1,((Résultats!$E:$E=$F15)+(Résultats!$F:$F=$F15))*(Résultats!$D:$D="J06"),0)</f>
        <v>#N/A</v>
      </c>
    </row>
    <row r="16" spans="1:9">
      <c r="A16" s="133">
        <f t="shared" si="0"/>
        <v>7</v>
      </c>
      <c r="B16" s="143" t="e">
        <f ca="1">INDIRECT(Réservé!N$5&amp;"C13")</f>
        <v>#REF!</v>
      </c>
      <c r="C16" s="143" t="e">
        <f t="array" aca="1" ref="C16" ca="1">INDEX(Résultats!$E:$F,E16,3-MATCH($B16,INDIRECT("Résultats!E"&amp;E16&amp;":F"&amp;E16),0))</f>
        <v>#N/A</v>
      </c>
      <c r="D16" s="131" t="e">
        <f t="array" aca="1" ref="D16" ca="1">INDEX(Résultats!$G:$H,E16,MATCH($B$10,INDIRECT("Résultats!E"&amp;E16&amp;":F"&amp;E16),0))&amp;" - "&amp;INDEX(Résultats!$G:$H,E16,3-MATCH($B$10,INDIRECT("Résultats!E"&amp;E16&amp;":F"&amp;E16),0))</f>
        <v>#N/A</v>
      </c>
      <c r="E16" s="141" t="e">
        <f t="array" aca="1" ref="E16" ca="1">MATCH(1,((Résultats!$E:$E=$B16)+(Résultats!$F:$F=$B16))*(Résultats!$D:$D="J07"),0)</f>
        <v>#N/A</v>
      </c>
      <c r="F16" s="144" t="e">
        <f ca="1">INDIRECT(Réservé!N$5&amp;"I13")</f>
        <v>#REF!</v>
      </c>
      <c r="G16" s="145" t="e">
        <f t="array" aca="1" ref="G16" ca="1">INDEX(Résultats!$E:$F,I16,3-MATCH($F16,INDIRECT("Résultats!E"&amp;I16&amp;":F"&amp;I16),0))</f>
        <v>#N/A</v>
      </c>
      <c r="H16" s="132" t="e">
        <f t="array" aca="1" ref="H16" ca="1">INDEX(Résultats!$G:$H,I16,MATCH($F$10,INDIRECT("Résultats!E"&amp;I16&amp;":F"&amp;I16),0))&amp;" - "&amp;INDEX(Résultats!$G:$H,I16,3-MATCH($F$10,INDIRECT("Résultats!E"&amp;I16&amp;":F"&amp;I16),0))</f>
        <v>#N/A</v>
      </c>
      <c r="I16" s="134" t="e">
        <f t="array" aca="1" ref="I16" ca="1">MATCH(1,((Résultats!$E:$E=$F16)+(Résultats!$F:$F=$F16))*(Résultats!$D:$D="J07"),0)</f>
        <v>#N/A</v>
      </c>
    </row>
    <row r="17" spans="1:9">
      <c r="A17" s="133">
        <f t="shared" si="0"/>
        <v>8</v>
      </c>
      <c r="B17" s="143" t="e">
        <f ca="1">INDIRECT(Réservé!N$5&amp;"C13")</f>
        <v>#REF!</v>
      </c>
      <c r="C17" s="143" t="e">
        <f t="array" aca="1" ref="C17" ca="1">INDEX(Résultats!$E:$F,E17,3-MATCH($B17,INDIRECT("Résultats!E"&amp;E17&amp;":F"&amp;E17),0))</f>
        <v>#N/A</v>
      </c>
      <c r="D17" s="131" t="e">
        <f t="array" aca="1" ref="D17" ca="1">INDEX(Résultats!$G:$H,E17,MATCH($B$10,INDIRECT("Résultats!E"&amp;E17&amp;":F"&amp;E17),0))&amp;" - "&amp;INDEX(Résultats!$G:$H,E17,3-MATCH($B$10,INDIRECT("Résultats!E"&amp;E17&amp;":F"&amp;E17),0))</f>
        <v>#N/A</v>
      </c>
      <c r="E17" s="141" t="e">
        <f t="array" aca="1" ref="E17" ca="1">MATCH(1,((Résultats!$E:$E=$B17)+(Résultats!$F:$F=$B17))*(Résultats!$D:$D="J08"),0)</f>
        <v>#N/A</v>
      </c>
      <c r="F17" s="144" t="e">
        <f ca="1">INDIRECT(Réservé!N$5&amp;"I13")</f>
        <v>#REF!</v>
      </c>
      <c r="G17" s="145" t="e">
        <f t="array" aca="1" ref="G17" ca="1">INDEX(Résultats!$E:$F,I17,3-MATCH($F17,INDIRECT("Résultats!E"&amp;I17&amp;":F"&amp;I17),0))</f>
        <v>#N/A</v>
      </c>
      <c r="H17" s="132" t="e">
        <f t="array" aca="1" ref="H17" ca="1">INDEX(Résultats!$G:$H,I17,MATCH($F$10,INDIRECT("Résultats!E"&amp;I17&amp;":F"&amp;I17),0))&amp;" - "&amp;INDEX(Résultats!$G:$H,I17,3-MATCH($F$10,INDIRECT("Résultats!E"&amp;I17&amp;":F"&amp;I17),0))</f>
        <v>#N/A</v>
      </c>
      <c r="I17" s="134" t="e">
        <f t="array" aca="1" ref="I17" ca="1">MATCH(1,((Résultats!$E:$E=$F17)+(Résultats!$F:$F=$F17))*(Résultats!$D:$D="J08"),0)</f>
        <v>#N/A</v>
      </c>
    </row>
    <row r="18" spans="1:9">
      <c r="A18" s="133">
        <f t="shared" si="0"/>
        <v>9</v>
      </c>
      <c r="B18" s="143" t="e">
        <f ca="1">INDIRECT(Réservé!N$5&amp;"C13")</f>
        <v>#REF!</v>
      </c>
      <c r="C18" s="143" t="e">
        <f t="array" aca="1" ref="C18" ca="1">INDEX(Résultats!$E:$F,E18,3-MATCH($B18,INDIRECT("Résultats!E"&amp;E18&amp;":F"&amp;E18),0))</f>
        <v>#N/A</v>
      </c>
      <c r="D18" s="131" t="e">
        <f t="array" aca="1" ref="D18" ca="1">INDEX(Résultats!$G:$H,E18,MATCH($B$10,INDIRECT("Résultats!E"&amp;E18&amp;":F"&amp;E18),0))&amp;" - "&amp;INDEX(Résultats!$G:$H,E18,3-MATCH($B$10,INDIRECT("Résultats!E"&amp;E18&amp;":F"&amp;E18),0))</f>
        <v>#N/A</v>
      </c>
      <c r="E18" s="141" t="e">
        <f t="array" aca="1" ref="E18" ca="1">MATCH(1,((Résultats!$E:$E=$B18)+(Résultats!$F:$F=$B18))*(Résultats!$D:$D="J09"),0)</f>
        <v>#N/A</v>
      </c>
      <c r="F18" s="144" t="e">
        <f ca="1">INDIRECT(Réservé!N$5&amp;"I13")</f>
        <v>#REF!</v>
      </c>
      <c r="G18" s="145" t="e">
        <f t="array" aca="1" ref="G18" ca="1">INDEX(Résultats!$E:$F,I18,3-MATCH($F18,INDIRECT("Résultats!E"&amp;I18&amp;":F"&amp;I18),0))</f>
        <v>#N/A</v>
      </c>
      <c r="H18" s="132" t="e">
        <f t="array" aca="1" ref="H18" ca="1">INDEX(Résultats!$G:$H,I18,MATCH($F$10,INDIRECT("Résultats!E"&amp;I18&amp;":F"&amp;I18),0))&amp;" - "&amp;INDEX(Résultats!$G:$H,I18,3-MATCH($F$10,INDIRECT("Résultats!E"&amp;I18&amp;":F"&amp;I18),0))</f>
        <v>#N/A</v>
      </c>
      <c r="I18" s="134" t="e">
        <f t="array" aca="1" ref="I18" ca="1">MATCH(1,((Résultats!$E:$E=$F18)+(Résultats!$F:$F=$F18))*(Résultats!$D:$D="J09"),0)</f>
        <v>#N/A</v>
      </c>
    </row>
    <row r="19" spans="1:9">
      <c r="A19" s="133">
        <f t="shared" si="0"/>
        <v>10</v>
      </c>
      <c r="B19" s="143" t="e">
        <f ca="1">INDIRECT(Réservé!N$5&amp;"C13")</f>
        <v>#REF!</v>
      </c>
      <c r="C19" s="143" t="e">
        <f t="array" aca="1" ref="C19" ca="1">INDEX(Résultats!$E:$F,E19,3-MATCH($B19,INDIRECT("Résultats!E"&amp;E19&amp;":F"&amp;E19),0))</f>
        <v>#N/A</v>
      </c>
      <c r="D19" s="131" t="e">
        <f t="array" aca="1" ref="D19" ca="1">INDEX(Résultats!$G:$H,E19,MATCH($B$10,INDIRECT("Résultats!E"&amp;E19&amp;":F"&amp;E19),0))&amp;" - "&amp;INDEX(Résultats!$G:$H,E19,3-MATCH($B$10,INDIRECT("Résultats!E"&amp;E19&amp;":F"&amp;E19),0))</f>
        <v>#N/A</v>
      </c>
      <c r="E19" s="141" t="e">
        <f t="array" aca="1" ref="E19" ca="1">MATCH(1,((Résultats!$E:$E=$B19)+(Résultats!$F:$F=$B19))*(Résultats!$D:$D="J10"),0)</f>
        <v>#N/A</v>
      </c>
      <c r="F19" s="144" t="e">
        <f ca="1">INDIRECT(Réservé!N$5&amp;"I13")</f>
        <v>#REF!</v>
      </c>
      <c r="G19" s="145" t="e">
        <f t="array" aca="1" ref="G19" ca="1">INDEX(Résultats!$E:$F,I19,3-MATCH($F19,INDIRECT("Résultats!E"&amp;I19&amp;":F"&amp;I19),0))</f>
        <v>#N/A</v>
      </c>
      <c r="H19" s="132" t="e">
        <f t="array" aca="1" ref="H19" ca="1">INDEX(Résultats!$G:$H,I19,MATCH($F$10,INDIRECT("Résultats!E"&amp;I19&amp;":F"&amp;I19),0))&amp;" - "&amp;INDEX(Résultats!$G:$H,I19,3-MATCH($F$10,INDIRECT("Résultats!E"&amp;I19&amp;":F"&amp;I19),0))</f>
        <v>#N/A</v>
      </c>
      <c r="I19" s="134" t="e">
        <f t="array" aca="1" ref="I19" ca="1">MATCH(1,((Résultats!$E:$E=$F19)+(Résultats!$F:$F=$F19))*(Résultats!$D:$D="J10"),0)</f>
        <v>#N/A</v>
      </c>
    </row>
    <row r="20" spans="1:9">
      <c r="D20" s="131"/>
      <c r="F20" s="132"/>
      <c r="G20" s="132"/>
      <c r="H20" s="132"/>
    </row>
    <row r="21" spans="1:9">
      <c r="D21" s="131"/>
      <c r="F21" s="132"/>
      <c r="G21" s="132"/>
    </row>
    <row r="22" spans="1:9">
      <c r="D22" s="131"/>
      <c r="F22" s="132"/>
    </row>
    <row r="23" spans="1:9">
      <c r="C23" s="133"/>
    </row>
  </sheetData>
  <pageMargins left="0.70866141732283472" right="0.70866141732283472" top="0.74803149606299213" bottom="0.74803149606299213" header="0.31496062992125984" footer="0.31496062992125984"/>
  <pageSetup paperSize="9" scale="3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AS26"/>
  <sheetViews>
    <sheetView topLeftCell="A16" zoomScale="90" zoomScaleNormal="90" workbookViewId="0">
      <selection activeCell="C22" sqref="A1:XFD1048576"/>
    </sheetView>
  </sheetViews>
  <sheetFormatPr baseColWidth="10" defaultRowHeight="15"/>
  <cols>
    <col min="1" max="1" width="8.5703125" style="3" customWidth="1"/>
    <col min="2" max="2" width="40.85546875" style="3" customWidth="1"/>
    <col min="3" max="4" width="27" style="3" customWidth="1"/>
    <col min="5" max="6" width="30.85546875" style="3" customWidth="1"/>
    <col min="7" max="10" width="20.7109375" style="3" customWidth="1"/>
    <col min="11" max="16" width="11.42578125" style="3"/>
    <col min="17" max="17" width="17" style="3" customWidth="1"/>
    <col min="18" max="18" width="22.7109375" style="3" customWidth="1"/>
    <col min="19" max="19" width="16.7109375" style="3" customWidth="1"/>
    <col min="20" max="20" width="36.7109375" style="3" customWidth="1"/>
    <col min="21" max="21" width="35.7109375" style="3" customWidth="1"/>
    <col min="22" max="22" width="5.5703125" style="3" customWidth="1"/>
    <col min="23" max="23" width="3.140625" style="3" customWidth="1"/>
    <col min="24" max="24" width="5.5703125" style="3" customWidth="1"/>
    <col min="25" max="25" width="3.140625" style="3" customWidth="1"/>
    <col min="26" max="26" width="5.5703125" style="3" customWidth="1"/>
    <col min="27" max="27" width="3.140625" style="3" customWidth="1"/>
    <col min="28" max="28" width="7.85546875" style="3" customWidth="1"/>
    <col min="29" max="29" width="6.42578125" style="3" customWidth="1"/>
    <col min="30" max="30" width="18.28515625" style="3" customWidth="1"/>
    <col min="31" max="31" width="15.28515625" style="3" customWidth="1"/>
    <col min="32" max="32" width="15.5703125" style="3" customWidth="1"/>
    <col min="33" max="33" width="15.28515625" style="3" customWidth="1"/>
    <col min="34" max="34" width="17.140625" style="3" customWidth="1"/>
    <col min="35" max="35" width="15.28515625" style="3" customWidth="1"/>
    <col min="36" max="36" width="15.5703125" style="3" customWidth="1"/>
    <col min="37" max="37" width="15.28515625" style="3" customWidth="1"/>
    <col min="38" max="38" width="18.28515625" style="3" customWidth="1"/>
    <col min="39" max="39" width="22.28515625" style="3" customWidth="1"/>
    <col min="40" max="40" width="22.7109375" style="3" customWidth="1"/>
    <col min="41" max="41" width="22.28515625" style="3" customWidth="1"/>
    <col min="42" max="42" width="18.5703125" style="3" customWidth="1"/>
    <col min="43" max="43" width="22.28515625" style="3" customWidth="1"/>
    <col min="44" max="44" width="22.7109375" style="3" customWidth="1"/>
    <col min="45" max="45" width="22.28515625" style="3" customWidth="1"/>
    <col min="46" max="16384" width="11.42578125" style="3"/>
  </cols>
  <sheetData>
    <row r="1" spans="1:45" ht="15" customHeight="1">
      <c r="A1" s="161" t="e">
        <f ca="1">INDIRECT(Réservé!N5&amp;"C13")</f>
        <v>#REF!</v>
      </c>
      <c r="B1" s="162"/>
      <c r="C1" s="162"/>
      <c r="D1" s="162"/>
      <c r="E1" s="162"/>
      <c r="F1" s="162"/>
      <c r="G1" s="162"/>
      <c r="H1" s="162"/>
      <c r="I1" s="162"/>
      <c r="J1" s="158" t="e">
        <f ca="1">SUM(Réservé!B29:I29)</f>
        <v>#REF!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45" ht="15" customHeight="1">
      <c r="A2" s="162"/>
      <c r="B2" s="162"/>
      <c r="C2" s="162"/>
      <c r="D2" s="162"/>
      <c r="E2" s="162"/>
      <c r="F2" s="162"/>
      <c r="G2" s="162"/>
      <c r="H2" s="162"/>
      <c r="I2" s="162"/>
      <c r="J2" s="158"/>
      <c r="M2" s="14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ht="18.75" customHeight="1">
      <c r="A3" s="162"/>
      <c r="B3" s="162"/>
      <c r="C3" s="162"/>
      <c r="D3" s="162"/>
      <c r="E3" s="162"/>
      <c r="F3" s="162"/>
      <c r="G3" s="162"/>
      <c r="H3" s="162"/>
      <c r="I3" s="162"/>
      <c r="J3" s="158"/>
      <c r="M3" s="14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1:45" ht="15" customHeight="1">
      <c r="A4" s="162"/>
      <c r="B4" s="162"/>
      <c r="C4" s="162"/>
      <c r="D4" s="162"/>
      <c r="E4" s="162"/>
      <c r="F4" s="162"/>
      <c r="G4" s="162"/>
      <c r="H4" s="162"/>
      <c r="I4" s="162"/>
      <c r="J4" s="158"/>
      <c r="M4" s="14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1:45" ht="15" customHeight="1">
      <c r="A5" s="162"/>
      <c r="B5" s="162"/>
      <c r="C5" s="162"/>
      <c r="D5" s="162"/>
      <c r="E5" s="162"/>
      <c r="F5" s="162"/>
      <c r="G5" s="162"/>
      <c r="H5" s="162"/>
      <c r="I5" s="162"/>
      <c r="J5" s="158"/>
      <c r="M5" s="14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1:45" ht="15" customHeight="1">
      <c r="A6" s="162"/>
      <c r="B6" s="162"/>
      <c r="C6" s="162"/>
      <c r="D6" s="162"/>
      <c r="E6" s="162"/>
      <c r="F6" s="162"/>
      <c r="G6" s="162"/>
      <c r="H6" s="162"/>
      <c r="I6" s="162"/>
      <c r="J6" s="158"/>
      <c r="M6" s="14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spans="1:45" s="5" customFormat="1" ht="15" customHeight="1">
      <c r="A7" s="162"/>
      <c r="B7" s="162"/>
      <c r="C7" s="162"/>
      <c r="D7" s="162"/>
      <c r="E7" s="162"/>
      <c r="F7" s="162"/>
      <c r="G7" s="162"/>
      <c r="H7" s="162"/>
      <c r="I7" s="162"/>
      <c r="J7" s="158"/>
      <c r="M7" s="14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spans="1:45" s="5" customFormat="1" ht="15" customHeight="1">
      <c r="A8" s="162"/>
      <c r="B8" s="162"/>
      <c r="C8" s="162"/>
      <c r="D8" s="162"/>
      <c r="E8" s="162"/>
      <c r="F8" s="162"/>
      <c r="G8" s="162"/>
      <c r="H8" s="162"/>
      <c r="I8" s="162"/>
      <c r="J8" s="158"/>
      <c r="M8" s="14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spans="1:45" s="5" customFormat="1" ht="15" customHeight="1">
      <c r="A9" s="17"/>
      <c r="B9" s="17"/>
      <c r="C9" s="17"/>
      <c r="D9" s="17"/>
      <c r="E9" s="17"/>
      <c r="F9" s="17"/>
      <c r="G9" s="18"/>
      <c r="H9" s="16"/>
      <c r="I9" s="16"/>
      <c r="J9" s="15"/>
      <c r="M9" s="14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spans="1:45" ht="15" customHeight="1">
      <c r="A10" s="163" t="e">
        <f ca="1">INDIRECT(Réservé!N5&amp;"I13")</f>
        <v>#REF!</v>
      </c>
      <c r="B10" s="164"/>
      <c r="C10" s="164"/>
      <c r="D10" s="164"/>
      <c r="E10" s="164"/>
      <c r="F10" s="164"/>
      <c r="G10" s="164"/>
      <c r="H10" s="164"/>
      <c r="I10" s="164"/>
      <c r="J10" s="159" t="e">
        <f ca="1">SUM(Réservé!B30:I30)</f>
        <v>#REF!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spans="1:45" ht="15" customHeight="1">
      <c r="A11" s="164"/>
      <c r="B11" s="164"/>
      <c r="C11" s="164"/>
      <c r="D11" s="164"/>
      <c r="E11" s="164"/>
      <c r="F11" s="164"/>
      <c r="G11" s="164"/>
      <c r="H11" s="164"/>
      <c r="I11" s="164"/>
      <c r="J11" s="160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5" ht="15" customHeight="1">
      <c r="A12" s="164"/>
      <c r="B12" s="164"/>
      <c r="C12" s="164"/>
      <c r="D12" s="164"/>
      <c r="E12" s="164"/>
      <c r="F12" s="164"/>
      <c r="G12" s="164"/>
      <c r="H12" s="164"/>
      <c r="I12" s="164"/>
      <c r="J12" s="160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ht="18.75" customHeight="1">
      <c r="A13" s="164"/>
      <c r="B13" s="164"/>
      <c r="C13" s="164"/>
      <c r="D13" s="164"/>
      <c r="E13" s="164"/>
      <c r="F13" s="164"/>
      <c r="G13" s="164"/>
      <c r="H13" s="164"/>
      <c r="I13" s="164"/>
      <c r="J13" s="160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ht="18.75" customHeight="1">
      <c r="A14" s="164"/>
      <c r="B14" s="164"/>
      <c r="C14" s="164"/>
      <c r="D14" s="164"/>
      <c r="E14" s="164"/>
      <c r="F14" s="164"/>
      <c r="G14" s="164"/>
      <c r="H14" s="164"/>
      <c r="I14" s="164"/>
      <c r="J14" s="160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ht="18.75" customHeight="1">
      <c r="A15" s="164"/>
      <c r="B15" s="164"/>
      <c r="C15" s="164"/>
      <c r="D15" s="164"/>
      <c r="E15" s="164"/>
      <c r="F15" s="164"/>
      <c r="G15" s="164"/>
      <c r="H15" s="164"/>
      <c r="I15" s="164"/>
      <c r="J15" s="160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spans="1:45" ht="18.75" customHeight="1">
      <c r="A16" s="164"/>
      <c r="B16" s="164"/>
      <c r="C16" s="164"/>
      <c r="D16" s="164"/>
      <c r="E16" s="164"/>
      <c r="F16" s="164"/>
      <c r="G16" s="164"/>
      <c r="H16" s="164"/>
      <c r="I16" s="164"/>
      <c r="J16" s="160"/>
      <c r="M16" s="2"/>
      <c r="N16" s="2"/>
      <c r="O16" s="2"/>
      <c r="P16" s="2"/>
    </row>
    <row r="17" spans="1:16" ht="21.75" customHeight="1">
      <c r="A17" s="4"/>
      <c r="M17" s="2"/>
      <c r="N17" s="2"/>
      <c r="O17" s="2"/>
      <c r="P17" s="2"/>
    </row>
    <row r="18" spans="1:16" ht="45">
      <c r="B18" s="4"/>
      <c r="C18" s="68" t="s">
        <v>1</v>
      </c>
      <c r="D18" s="68" t="s">
        <v>2</v>
      </c>
      <c r="E18" s="68" t="s">
        <v>3</v>
      </c>
      <c r="F18" s="126"/>
      <c r="J18" s="2"/>
      <c r="K18" s="2"/>
      <c r="L18" s="2"/>
      <c r="M18" s="2"/>
    </row>
    <row r="19" spans="1:16" ht="60">
      <c r="B19" s="68" t="e">
        <f ca="1">IF(ROW(B19)-ROW(B$18)+COUNTIF(Réservé!B$14:I$14,0)&gt;8,"",INDEX(Réservé!B$4:I$4,MATCH(SMALL(Réservé!B$14:I$14,ROW(B19)-ROW(B$18)+COUNTIF(Réservé!B$14:I$14,0)),Réservé!B$14:I$14,0)))</f>
        <v>#REF!</v>
      </c>
      <c r="C19" s="69" t="e">
        <f ca="1">IF(B19="","",IF(OR(INDEX(Réservé!$21:$21,,MATCH($B19,Réservé!$A$4:$I$4,0))=0,INDEX(Réservé!$22:$22,,MATCH($B19,Réservé!$A$4:$I$4,0))=0),"",INDEX(Réservé!$21:$21,,MATCH($B19,Réservé!$A$4:$I$4,0))&amp;"/"&amp;INDEX(Réservé!$22:$22,,MATCH($B19,Réservé!$A$4:$I$4,0))))</f>
        <v>#REF!</v>
      </c>
      <c r="D19" s="69" t="e">
        <f ca="1">IF(B19="","",IF(OR(INDEX(Réservé!$23:$23,,MATCH($B19,Réservé!$A$4:$I$4,0))=0,INDEX(Réservé!$24:$24,,MATCH($B19,Réservé!$A$4:$I$4,0))=0),"",INDEX(Réservé!$23:$23,,MATCH($B19,Réservé!$A$4:$I$4,0))&amp;"/"&amp;INDEX(Réservé!$24:$24,,MATCH($B19,Réservé!$A$4:$I$4,0))))</f>
        <v>#REF!</v>
      </c>
      <c r="E19" s="69" t="e">
        <f ca="1">IF(B19="","",IF(OR(INDEX(Réservé!$25:$25,,MATCH($B19,Réservé!$A$4:$I$4,0))=0,INDEX(Réservé!$26:$26,,MATCH($B19,Réservé!$A$4:$I$4,0))=0),"",INDEX(Réservé!$25:$25,,MATCH($B19,Réservé!$A$4:$I$4,0))&amp;"/"&amp;INDEX(Réservé!$26:$26,,MATCH($B19,Réservé!$A$4:$I$4,0))))</f>
        <v>#REF!</v>
      </c>
      <c r="F19" s="127"/>
      <c r="M19" s="2"/>
      <c r="N19" s="2"/>
      <c r="O19" s="2"/>
      <c r="P19" s="2"/>
    </row>
    <row r="20" spans="1:16" ht="60">
      <c r="B20" s="68" t="e">
        <f ca="1">IF(ROW(B20)-ROW(B$18)+COUNTIF(Réservé!B$14:I$14,0)&gt;8,"",INDEX(Réservé!B$4:I$4,MATCH(SMALL(Réservé!B$14:I$14,ROW(B20)-ROW(B$18)+COUNTIF(Réservé!B$14:I$14,0)),Réservé!B$14:I$14,0)))</f>
        <v>#REF!</v>
      </c>
      <c r="C20" s="69" t="e">
        <f ca="1">IF(B20="","",IF(OR(INDEX(Réservé!$21:$21,,MATCH($B20,Réservé!$A$4:$I$4,0))=0,INDEX(Réservé!$22:$22,,MATCH($B20,Réservé!$A$4:$I$4,0))=0),"",INDEX(Réservé!$21:$21,,MATCH($B20,Réservé!$A$4:$I$4,0))&amp;"/"&amp;INDEX(Réservé!$22:$22,,MATCH($B20,Réservé!$A$4:$I$4,0))))</f>
        <v>#REF!</v>
      </c>
      <c r="D20" s="69" t="e">
        <f ca="1">IF(B20="","",IF(OR(INDEX(Réservé!$23:$23,,MATCH($B20,Réservé!$A$4:$I$4,0))=0,INDEX(Réservé!$24:$24,,MATCH($B20,Réservé!$A$4:$I$4,0))=0),"",INDEX(Réservé!$23:$23,,MATCH($B20,Réservé!$A$4:$I$4,0))&amp;"/"&amp;INDEX(Réservé!$24:$24,,MATCH($B20,Réservé!$A$4:$I$4,0))))</f>
        <v>#REF!</v>
      </c>
      <c r="E20" s="69" t="e">
        <f ca="1">IF(B20="","",IF(OR(INDEX(Réservé!$25:$25,,MATCH($B20,Réservé!$A$4:$I$4,0))=0,INDEX(Réservé!$26:$26,,MATCH($B20,Réservé!$A$4:$I$4,0))=0),"",INDEX(Réservé!$25:$25,,MATCH($B20,Réservé!$A$4:$I$4,0))&amp;"/"&amp;INDEX(Réservé!$26:$26,,MATCH($B20,Réservé!$A$4:$I$4,0))))</f>
        <v>#REF!</v>
      </c>
      <c r="F20" s="127"/>
      <c r="G20" s="6"/>
      <c r="M20" s="2"/>
      <c r="N20" s="2"/>
      <c r="O20" s="2"/>
      <c r="P20" s="2"/>
    </row>
    <row r="21" spans="1:16" ht="60">
      <c r="B21" s="68" t="e">
        <f ca="1">IF(ROW(B21)-ROW(B$18)+COUNTIF(Réservé!B$14:I$14,0)&gt;8,"",INDEX(Réservé!B$4:I$4,MATCH(SMALL(Réservé!B$14:I$14,ROW(B21)-ROW(B$18)+COUNTIF(Réservé!B$14:I$14,0)),Réservé!B$14:I$14,0)))</f>
        <v>#REF!</v>
      </c>
      <c r="C21" s="69" t="e">
        <f ca="1">IF(B21="","",IF(OR(INDEX(Réservé!$21:$21,,MATCH($B21,Réservé!$A$4:$I$4,0))=0,INDEX(Réservé!$22:$22,,MATCH($B21,Réservé!$A$4:$I$4,0))=0),"",INDEX(Réservé!$21:$21,,MATCH($B21,Réservé!$A$4:$I$4,0))&amp;"/"&amp;INDEX(Réservé!$22:$22,,MATCH($B21,Réservé!$A$4:$I$4,0))))</f>
        <v>#REF!</v>
      </c>
      <c r="D21" s="69" t="e">
        <f ca="1">IF(B21="","",IF(OR(INDEX(Réservé!$23:$23,,MATCH($B21,Réservé!$A$4:$I$4,0))=0,INDEX(Réservé!$24:$24,,MATCH($B21,Réservé!$A$4:$I$4,0))=0),"",INDEX(Réservé!$23:$23,,MATCH($B21,Réservé!$A$4:$I$4,0))&amp;"/"&amp;INDEX(Réservé!$24:$24,,MATCH($B21,Réservé!$A$4:$I$4,0))))</f>
        <v>#REF!</v>
      </c>
      <c r="E21" s="69" t="e">
        <f ca="1">IF(B21="","",IF(OR(INDEX(Réservé!$25:$25,,MATCH($B21,Réservé!$A$4:$I$4,0))=0,INDEX(Réservé!$26:$26,,MATCH($B21,Réservé!$A$4:$I$4,0))=0),"",INDEX(Réservé!$25:$25,,MATCH($B21,Réservé!$A$4:$I$4,0))&amp;"/"&amp;INDEX(Réservé!$26:$26,,MATCH($B21,Réservé!$A$4:$I$4,0))))</f>
        <v>#REF!</v>
      </c>
      <c r="F21" s="127"/>
      <c r="G21" s="6"/>
    </row>
    <row r="22" spans="1:16" ht="60">
      <c r="B22" s="68" t="e">
        <f ca="1">IF(ROW(B22)-ROW(B$18)+COUNTIF(Réservé!B$14:I$14,0)&gt;8,"",INDEX(Réservé!B$4:I$4,MATCH(SMALL(Réservé!B$14:I$14,ROW(B22)-ROW(B$18)+COUNTIF(Réservé!B$14:I$14,0)),Réservé!B$14:I$14,0)))</f>
        <v>#REF!</v>
      </c>
      <c r="C22" s="69" t="e">
        <f ca="1">IF(B22="","",IF(OR(INDEX(Réservé!$21:$21,,MATCH($B22,Réservé!$A$4:$I$4,0))=0,INDEX(Réservé!$22:$22,,MATCH($B22,Réservé!$A$4:$I$4,0))=0),"",INDEX(Réservé!$21:$21,,MATCH($B22,Réservé!$A$4:$I$4,0))&amp;"/"&amp;INDEX(Réservé!$22:$22,,MATCH($B22,Réservé!$A$4:$I$4,0))))</f>
        <v>#REF!</v>
      </c>
      <c r="D22" s="69" t="e">
        <f ca="1">IF(B22="","",IF(OR(INDEX(Réservé!$23:$23,,MATCH($B22,Réservé!$A$4:$I$4,0))=0,INDEX(Réservé!$24:$24,,MATCH($B22,Réservé!$A$4:$I$4,0))=0),"",INDEX(Réservé!$23:$23,,MATCH($B22,Réservé!$A$4:$I$4,0))&amp;"/"&amp;INDEX(Réservé!$24:$24,,MATCH($B22,Réservé!$A$4:$I$4,0))))</f>
        <v>#REF!</v>
      </c>
      <c r="E22" s="69" t="e">
        <f ca="1">IF(B22="","",IF(OR(INDEX(Réservé!$25:$25,,MATCH($B22,Réservé!$A$4:$I$4,0))=0,INDEX(Réservé!$26:$26,,MATCH($B22,Réservé!$A$4:$I$4,0))=0),"",INDEX(Réservé!$25:$25,,MATCH($B22,Réservé!$A$4:$I$4,0))&amp;"/"&amp;INDEX(Réservé!$26:$26,,MATCH($B22,Réservé!$A$4:$I$4,0))))</f>
        <v>#REF!</v>
      </c>
      <c r="F22" s="127"/>
    </row>
    <row r="23" spans="1:16" ht="60">
      <c r="B23" s="68" t="e">
        <f ca="1">IF(ROW(B23)-ROW(B$18)+COUNTIF(Réservé!B$14:I$14,0)&gt;8,"",INDEX(Réservé!B$4:I$4,MATCH(SMALL(Réservé!B$14:I$14,ROW(B23)-ROW(B$18)+COUNTIF(Réservé!B$14:I$14,0)),Réservé!B$14:I$14,0)))</f>
        <v>#REF!</v>
      </c>
      <c r="C23" s="69" t="e">
        <f ca="1">IF(B23="","",IF(OR(INDEX(Réservé!$21:$21,,MATCH($B23,Réservé!$A$4:$I$4,0))=0,INDEX(Réservé!$22:$22,,MATCH($B23,Réservé!$A$4:$I$4,0))=0),"",INDEX(Réservé!$21:$21,,MATCH($B23,Réservé!$A$4:$I$4,0))&amp;"/"&amp;INDEX(Réservé!$22:$22,,MATCH($B23,Réservé!$A$4:$I$4,0))))</f>
        <v>#REF!</v>
      </c>
      <c r="D23" s="69" t="e">
        <f ca="1">IF(B23="","",IF(OR(INDEX(Réservé!$23:$23,,MATCH($B23,Réservé!$A$4:$I$4,0))=0,INDEX(Réservé!$24:$24,,MATCH($B23,Réservé!$A$4:$I$4,0))=0),"",INDEX(Réservé!$23:$23,,MATCH($B23,Réservé!$A$4:$I$4,0))&amp;"/"&amp;INDEX(Réservé!$24:$24,,MATCH($B23,Réservé!$A$4:$I$4,0))))</f>
        <v>#REF!</v>
      </c>
      <c r="E23" s="69" t="e">
        <f ca="1">IF(B23="","",IF(OR(INDEX(Réservé!$25:$25,,MATCH($B23,Réservé!$A$4:$I$4,0))=0,INDEX(Réservé!$26:$26,,MATCH($B23,Réservé!$A$4:$I$4,0))=0),"",INDEX(Réservé!$25:$25,,MATCH($B23,Réservé!$A$4:$I$4,0))&amp;"/"&amp;INDEX(Réservé!$26:$26,,MATCH($B23,Réservé!$A$4:$I$4,0))))</f>
        <v>#REF!</v>
      </c>
      <c r="F23" s="127"/>
    </row>
    <row r="24" spans="1:16" ht="60">
      <c r="B24" s="68" t="e">
        <f ca="1">IF(ROW(B24)-ROW(B$18)+COUNTIF(Réservé!B$14:I$14,0)&gt;8,"",INDEX(Réservé!B$4:I$4,MATCH(SMALL(Réservé!B$14:I$14,ROW(B24)-ROW(B$18)+COUNTIF(Réservé!B$14:I$14,0)),Réservé!B$14:I$14,0)))</f>
        <v>#REF!</v>
      </c>
      <c r="C24" s="69" t="e">
        <f ca="1">IF(B24="","",IF(OR(INDEX(Réservé!$21:$21,,MATCH($B24,Réservé!$A$4:$I$4,0))=0,INDEX(Réservé!$22:$22,,MATCH($B24,Réservé!$A$4:$I$4,0))=0),"",INDEX(Réservé!$21:$21,,MATCH($B24,Réservé!$A$4:$I$4,0))&amp;"/"&amp;INDEX(Réservé!$22:$22,,MATCH($B24,Réservé!$A$4:$I$4,0))))</f>
        <v>#REF!</v>
      </c>
      <c r="D24" s="69" t="e">
        <f ca="1">IF(B24="","",IF(OR(INDEX(Réservé!$23:$23,,MATCH($B24,Réservé!$A$4:$I$4,0))=0,INDEX(Réservé!$24:$24,,MATCH($B24,Réservé!$A$4:$I$4,0))=0),"",INDEX(Réservé!$23:$23,,MATCH($B24,Réservé!$A$4:$I$4,0))&amp;"/"&amp;INDEX(Réservé!$24:$24,,MATCH($B24,Réservé!$A$4:$I$4,0))))</f>
        <v>#REF!</v>
      </c>
      <c r="E24" s="69" t="e">
        <f ca="1">IF(B24="","",IF(OR(INDEX(Réservé!$25:$25,,MATCH($B24,Réservé!$A$4:$I$4,0))=0,INDEX(Réservé!$26:$26,,MATCH($B24,Réservé!$A$4:$I$4,0))=0),"",INDEX(Réservé!$25:$25,,MATCH($B24,Réservé!$A$4:$I$4,0))&amp;"/"&amp;INDEX(Réservé!$26:$26,,MATCH($B24,Réservé!$A$4:$I$4,0))))</f>
        <v>#REF!</v>
      </c>
      <c r="F24" s="127"/>
    </row>
    <row r="25" spans="1:16" ht="60">
      <c r="B25" s="68" t="e">
        <f ca="1">IF(ROW(B25)-ROW(B$18)+COUNTIF(Réservé!B$14:I$14,0)&gt;8,"",INDEX(Réservé!B$4:I$4,MATCH(SMALL(Réservé!B$14:I$14,ROW(B25)-ROW(B$18)+COUNTIF(Réservé!B$14:I$14,0)),Réservé!B$14:I$14,0)))</f>
        <v>#REF!</v>
      </c>
      <c r="C25" s="69" t="e">
        <f ca="1">IF(B25="","",IF(OR(INDEX(Réservé!$21:$21,,MATCH($B25,Réservé!$A$4:$I$4,0))=0,INDEX(Réservé!$22:$22,,MATCH($B25,Réservé!$A$4:$I$4,0))=0),"",INDEX(Réservé!$21:$21,,MATCH($B25,Réservé!$A$4:$I$4,0))&amp;"/"&amp;INDEX(Réservé!$22:$22,,MATCH($B25,Réservé!$A$4:$I$4,0))))</f>
        <v>#REF!</v>
      </c>
      <c r="D25" s="69" t="e">
        <f ca="1">IF(B25="","",IF(OR(INDEX(Réservé!$23:$23,,MATCH($B25,Réservé!$A$4:$I$4,0))=0,INDEX(Réservé!$24:$24,,MATCH($B25,Réservé!$A$4:$I$4,0))=0),"",INDEX(Réservé!$23:$23,,MATCH($B25,Réservé!$A$4:$I$4,0))&amp;"/"&amp;INDEX(Réservé!$24:$24,,MATCH($B25,Réservé!$A$4:$I$4,0))))</f>
        <v>#REF!</v>
      </c>
      <c r="E25" s="69" t="e">
        <f ca="1">IF(B25="","",IF(OR(INDEX(Réservé!$25:$25,,MATCH($B25,Réservé!$A$4:$I$4,0))=0,INDEX(Réservé!$26:$26,,MATCH($B25,Réservé!$A$4:$I$4,0))=0),"",INDEX(Réservé!$25:$25,,MATCH($B25,Réservé!$A$4:$I$4,0))&amp;"/"&amp;INDEX(Réservé!$26:$26,,MATCH($B25,Réservé!$A$4:$I$4,0))))</f>
        <v>#REF!</v>
      </c>
      <c r="F25" s="127"/>
    </row>
    <row r="26" spans="1:16" ht="60">
      <c r="B26" s="68" t="e">
        <f ca="1">IF(ROW(B26)-ROW(B$18)+COUNTIF(Réservé!B$14:I$14,0)&gt;8,"",INDEX(Réservé!B$4:I$4,MATCH(SMALL(Réservé!B$14:I$14,ROW(B26)-ROW(B$18)+COUNTIF(Réservé!B$14:I$14,0)),Réservé!B$14:I$14,0)))</f>
        <v>#REF!</v>
      </c>
      <c r="C26" s="69" t="e">
        <f ca="1">IF(B26="","",IF(OR(INDEX(Réservé!$21:$21,,MATCH($B26,Réservé!$A$4:$I$4,0))=0,INDEX(Réservé!$22:$22,,MATCH($B26,Réservé!$A$4:$I$4,0))=0),"",INDEX(Réservé!$21:$21,,MATCH($B26,Réservé!$A$4:$I$4,0))&amp;"/"&amp;INDEX(Réservé!$22:$22,,MATCH($B26,Réservé!$A$4:$I$4,0))))</f>
        <v>#REF!</v>
      </c>
      <c r="D26" s="69" t="e">
        <f ca="1">IF(B26="","",IF(OR(INDEX(Réservé!$23:$23,,MATCH($B26,Réservé!$A$4:$I$4,0))=0,INDEX(Réservé!$24:$24,,MATCH($B26,Réservé!$A$4:$I$4,0))=0),"",INDEX(Réservé!$23:$23,,MATCH($B26,Réservé!$A$4:$I$4,0))&amp;"/"&amp;INDEX(Réservé!$24:$24,,MATCH($B26,Réservé!$A$4:$I$4,0))))</f>
        <v>#REF!</v>
      </c>
      <c r="E26" s="69" t="e">
        <f ca="1">IF(B26="","",IF(OR(INDEX(Réservé!$25:$25,,MATCH($B26,Réservé!$A$4:$I$4,0))=0,INDEX(Réservé!$26:$26,,MATCH($B26,Réservé!$A$4:$I$4,0))=0),"",INDEX(Réservé!$25:$25,,MATCH($B26,Réservé!$A$4:$I$4,0))&amp;"/"&amp;INDEX(Réservé!$26:$26,,MATCH($B26,Réservé!$A$4:$I$4,0))))</f>
        <v>#REF!</v>
      </c>
      <c r="F26" s="127"/>
    </row>
  </sheetData>
  <sheetProtection selectLockedCells="1" selectUnlockedCells="1"/>
  <mergeCells count="4">
    <mergeCell ref="J1:J8"/>
    <mergeCell ref="J10:J16"/>
    <mergeCell ref="A1:I8"/>
    <mergeCell ref="A10:I16"/>
  </mergeCells>
  <pageMargins left="0.70866141732283472" right="0.11811023622047245" top="0" bottom="0" header="0" footer="0.39370078740157483"/>
  <pageSetup paperSize="9" scale="61" orientation="landscape" r:id="rId1"/>
  <headerFooter>
    <oddFooter>Page &amp;P de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9F0D1928-DA9A-4413-9F53-118D0D029152}">
            <xm:f>IF(1=INDEX(Réservé!$B$29:$I$30,MATCH("VainqueurV",Réservé!$A$29:$A$30,0),MATCH($B26,Réservé!$B$4:$I$4,0)),TRUE,FALSE)</xm:f>
            <x14:dxf>
              <font>
                <b/>
                <i val="0"/>
                <color auto="1"/>
              </font>
              <fill>
                <patternFill>
                  <bgColor rgb="FF0070C0"/>
                </patternFill>
              </fill>
            </x14:dxf>
          </x14:cfRule>
          <x14:cfRule type="expression" priority="20" id="{C218CED0-0F2A-45DC-A521-A5901814AE95}">
            <xm:f>IF(1=INDEX(Réservé!$B$29:$I$30,MATCH("VainqueurH",Réservé!$A$29:$A$30,0),MATCH($B26,Réservé!$B$4:$I$4,0)),TRUE,FALSE)</xm:f>
            <x14:dxf>
              <fill>
                <patternFill>
                  <bgColor rgb="FFFF0000"/>
                </patternFill>
              </fill>
            </x14:dxf>
          </x14:cfRule>
          <xm:sqref>B26</xm:sqref>
        </x14:conditionalFormatting>
        <x14:conditionalFormatting xmlns:xm="http://schemas.microsoft.com/office/excel/2006/main">
          <x14:cfRule type="expression" priority="30" id="{81E315B5-4C8A-4961-93F4-ED8C42B396F6}">
            <xm:f>IF(1=INDEX(Réservé!$B$29:$I$30,MATCH("VainqueurV",Réservé!$A$29:$A$30,0),MATCH($B26,Réservé!$B$4:$I$4,0)),TRUE,FALSE)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38" id="{3696FCFF-5A66-4777-98B9-48D0E3E1C231}">
            <xm:f>IF(1=INDEX(Réservé!$B$29:$I$30,MATCH("VainqueurH",Réservé!$A$29:$A$30,0),MATCH($B26,Réservé!$B$4:$I$4,0)),TRUE,FALSE)</xm:f>
            <x14:dxf>
              <font>
                <b/>
                <i val="0"/>
                <color rgb="FFFF0000"/>
              </font>
            </x14:dxf>
          </x14:cfRule>
          <xm:sqref>C26:F26</xm:sqref>
        </x14:conditionalFormatting>
        <x14:conditionalFormatting xmlns:xm="http://schemas.microsoft.com/office/excel/2006/main">
          <x14:cfRule type="expression" priority="7" id="{B9446C4C-1131-4EE7-920E-025E0DDDDFA8}">
            <xm:f>IF(1=INDEX(Réservé!$B$29:$I$30,MATCH("VainqueurV",Réservé!$A$29:$A$30,0),MATCH($B25,Réservé!$B$4:$I$4,0)),TRUE,FALSE)</xm:f>
            <x14:dxf>
              <font>
                <b/>
                <i val="0"/>
                <color auto="1"/>
              </font>
              <fill>
                <patternFill>
                  <bgColor rgb="FF0070C0"/>
                </patternFill>
              </fill>
            </x14:dxf>
          </x14:cfRule>
          <x14:cfRule type="expression" priority="19" id="{4ED0D1B7-AAB3-47EE-91D6-BBD0CF6DB540}">
            <xm:f>IF(1=INDEX(Réservé!$B$29:$I$30,MATCH("VainqueurH",Réservé!$A$29:$A$30,0),MATCH($B25,Réservé!$B$4:$I$4,0)),TRUE,FALSE)</xm:f>
            <x14:dxf>
              <fill>
                <patternFill>
                  <bgColor rgb="FFFF0000"/>
                </patternFill>
              </fill>
            </x14:dxf>
          </x14:cfRule>
          <xm:sqref>B25</xm:sqref>
        </x14:conditionalFormatting>
        <x14:conditionalFormatting xmlns:xm="http://schemas.microsoft.com/office/excel/2006/main">
          <x14:cfRule type="expression" priority="29" id="{A31F7107-43AF-4B1B-8B1F-E363E83B49E1}">
            <xm:f>IF(1=INDEX(Réservé!$B$29:$I$30,MATCH("VainqueurV",Réservé!$A$29:$A$30,0),MATCH($B25,Réservé!$B$4:$I$4,0)),TRUE,FALSE)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37" id="{E5097B93-6740-47BD-BFEE-3069865C345B}">
            <xm:f>IF(1=INDEX(Réservé!$B$29:$I$30,MATCH("VainqueurH",Réservé!$A$29:$A$30,0),MATCH($B25,Réservé!$B$4:$I$4,0)),TRUE,FALSE)</xm:f>
            <x14:dxf>
              <font>
                <b/>
                <i val="0"/>
                <color rgb="FFFF0000"/>
              </font>
            </x14:dxf>
          </x14:cfRule>
          <xm:sqref>C25:F25</xm:sqref>
        </x14:conditionalFormatting>
        <x14:conditionalFormatting xmlns:xm="http://schemas.microsoft.com/office/excel/2006/main">
          <x14:cfRule type="expression" priority="6" id="{128F0550-276C-4C0A-808F-9553C51C197F}">
            <xm:f>IF(1=INDEX(Réservé!$B$29:$I$30,MATCH("VainqueurV",Réservé!$A$29:$A$30,0),MATCH($B24,Réservé!$B$4:$I$4,0)),TRUE,FALSE)</xm:f>
            <x14:dxf>
              <font>
                <b/>
                <i val="0"/>
                <color auto="1"/>
              </font>
              <fill>
                <patternFill>
                  <bgColor rgb="FF0070C0"/>
                </patternFill>
              </fill>
            </x14:dxf>
          </x14:cfRule>
          <x14:cfRule type="expression" priority="16" id="{BCC60F82-162C-4FEC-ADE3-AFF4174EF6D4}">
            <xm:f>IF(1=INDEX(Réservé!$B$29:$I$30,MATCH("VainqueurH",Réservé!$A$29:$A$30,0),MATCH($B24,Réservé!$B$4:$I$4,0)),TRUE,FALSE)</xm:f>
            <x14:dxf>
              <fill>
                <patternFill>
                  <bgColor rgb="FFFF0000"/>
                </patternFill>
              </fill>
            </x14:dxf>
          </x14:cfRule>
          <xm:sqref>B24</xm:sqref>
        </x14:conditionalFormatting>
        <x14:conditionalFormatting xmlns:xm="http://schemas.microsoft.com/office/excel/2006/main">
          <x14:cfRule type="expression" priority="28" id="{617615CE-FD88-4658-BFED-4C78E3E7688D}">
            <xm:f>IF(1=INDEX(Réservé!$B$29:$I$30,MATCH("VainqueurV",Réservé!$A$29:$A$30,0),MATCH($B24,Réservé!$B$4:$I$4,0)),TRUE,FALSE)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36" id="{674C3F42-9FE3-4C0A-A26A-26210B8DA6F8}">
            <xm:f>IF(1=INDEX(Réservé!$B$29:$I$30,MATCH("VainqueurH",Réservé!$A$29:$A$30,0),MATCH($B24,Réservé!$B$4:$I$4,0)),TRUE,FALSE)</xm:f>
            <x14:dxf>
              <font>
                <b/>
                <i val="0"/>
                <color rgb="FFFF0000"/>
              </font>
            </x14:dxf>
          </x14:cfRule>
          <xm:sqref>C24:F24</xm:sqref>
        </x14:conditionalFormatting>
        <x14:conditionalFormatting xmlns:xm="http://schemas.microsoft.com/office/excel/2006/main">
          <x14:cfRule type="expression" priority="5" id="{D7502529-42FB-41D7-B2BC-139A48821575}">
            <xm:f>IF(1=INDEX(Réservé!$B$29:$I$30,MATCH("VainqueurV",Réservé!$A$29:$A$30,0),MATCH($B23,Réservé!$B$4:$I$4,0)),TRUE,FALSE)</xm:f>
            <x14:dxf>
              <font>
                <b/>
                <i val="0"/>
                <color auto="1"/>
              </font>
              <fill>
                <patternFill>
                  <bgColor rgb="FF0070C0"/>
                </patternFill>
              </fill>
            </x14:dxf>
          </x14:cfRule>
          <x14:cfRule type="expression" priority="15" id="{6D375E58-149D-4AC1-9276-308114B2B14A}">
            <xm:f>IF(1=INDEX(Réservé!$B$29:$I$30,MATCH("VainqueurH",Réservé!$A$29:$A$30,0),MATCH($B23,Réservé!$B$4:$I$4,0)),TRUE,FALSE)</xm:f>
            <x14:dxf>
              <fill>
                <patternFill>
                  <bgColor rgb="FFFF0000"/>
                </patternFill>
              </fill>
            </x14:dxf>
          </x14:cfRule>
          <xm:sqref>B23</xm:sqref>
        </x14:conditionalFormatting>
        <x14:conditionalFormatting xmlns:xm="http://schemas.microsoft.com/office/excel/2006/main">
          <x14:cfRule type="expression" priority="27" id="{D5377B81-F7E4-4CB0-B9D2-D51151BF386A}">
            <xm:f>IF(1=INDEX(Réservé!$B$29:$I$30,MATCH("VainqueurV",Réservé!$A$29:$A$30,0),MATCH($B23,Réservé!$B$4:$I$4,0)),TRUE,FALSE)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35" id="{0B1BB198-A587-46A0-A5AD-D2E1B37BB744}">
            <xm:f>IF(1=INDEX(Réservé!$B$29:$I$30,MATCH("VainqueurH",Réservé!$A$29:$A$30,0),MATCH($B23,Réservé!$B$4:$I$4,0)),TRUE,FALSE)</xm:f>
            <x14:dxf>
              <font>
                <b/>
                <i val="0"/>
                <color rgb="FFFF0000"/>
              </font>
            </x14:dxf>
          </x14:cfRule>
          <xm:sqref>C23:F23</xm:sqref>
        </x14:conditionalFormatting>
        <x14:conditionalFormatting xmlns:xm="http://schemas.microsoft.com/office/excel/2006/main">
          <x14:cfRule type="expression" priority="26" id="{EFA1A9E4-3E06-47F2-B613-A2D9E759CDA9}">
            <xm:f>IF(1=INDEX(Réservé!$B$29:$I$30,MATCH("VainqueurV",Réservé!$A$29:$A$30,0),MATCH($B22,Réservé!$B$4:$I$4,0)),TRUE,FALSE)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34" id="{1A60D9D8-ABE2-4703-A8A5-29113353DA39}">
            <xm:f>IF(1=INDEX(Réservé!$B$29:$I$30,MATCH("VainqueurH",Réservé!$A$29:$A$30,0),MATCH($B22,Réservé!$B$4:$I$4,0)),TRUE,FALSE)</xm:f>
            <x14:dxf>
              <font>
                <b/>
                <i val="0"/>
                <color rgb="FFFF0000"/>
              </font>
            </x14:dxf>
          </x14:cfRule>
          <xm:sqref>C22:F22</xm:sqref>
        </x14:conditionalFormatting>
        <x14:conditionalFormatting xmlns:xm="http://schemas.microsoft.com/office/excel/2006/main">
          <x14:cfRule type="expression" priority="2" id="{B02500B0-7CC6-420A-9318-33E7D2A2D5DA}">
            <xm:f>IF(1=INDEX(Réservé!$B$29:$I$30,MATCH("VainqueurV",Réservé!$A$29:$A$30,0),MATCH($B20,Réservé!$B$4:$I$4,0)),TRUE,FALSE)</xm:f>
            <x14:dxf>
              <font>
                <b/>
                <i val="0"/>
                <color auto="1"/>
              </font>
              <fill>
                <patternFill>
                  <bgColor rgb="FF0070C0"/>
                </patternFill>
              </fill>
            </x14:dxf>
          </x14:cfRule>
          <x14:cfRule type="expression" priority="12" id="{CD2DA125-5588-4110-B19E-9CCB6C77D5FD}">
            <xm:f>IF(1=INDEX(Réservé!$B$29:$I$30,MATCH("VainqueurH",Réservé!$A$29:$A$30,0),MATCH($B20,Réservé!$B$4:$I$4,0)),TRUE,FALSE)</xm:f>
            <x14:dxf>
              <fill>
                <patternFill>
                  <bgColor rgb="FFFF0000"/>
                </patternFill>
              </fill>
            </x14:dxf>
          </x14:cfRule>
          <xm:sqref>B20</xm:sqref>
        </x14:conditionalFormatting>
        <x14:conditionalFormatting xmlns:xm="http://schemas.microsoft.com/office/excel/2006/main">
          <x14:cfRule type="expression" priority="25" id="{27882F32-5A02-438E-B9EE-38878AD154FB}">
            <xm:f>IF(1=INDEX(Réservé!$B$29:$I$30,MATCH("VainqueurV",Réservé!$A$29:$A$30,0),MATCH($B21,Réservé!$B$4:$I$4,0)),TRUE,FALSE)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33" id="{76E6995A-23A8-4E3F-A5B2-A06CC6E85C77}">
            <xm:f>IF(1=INDEX(Réservé!$B$29:$I$30,MATCH("VainqueurH",Réservé!$A$29:$A$30,0),MATCH($B21,Réservé!$B$4:$I$4,0)),TRUE,FALSE)</xm:f>
            <x14:dxf>
              <font>
                <b/>
                <i val="0"/>
                <color rgb="FFFF0000"/>
              </font>
            </x14:dxf>
          </x14:cfRule>
          <xm:sqref>C21:F21</xm:sqref>
        </x14:conditionalFormatting>
        <x14:conditionalFormatting xmlns:xm="http://schemas.microsoft.com/office/excel/2006/main">
          <x14:cfRule type="expression" priority="24" id="{2FCF00C2-938B-4DD2-BA3D-C6766BCB1981}">
            <xm:f>IF(1=INDEX(Réservé!$B$29:$I$30,MATCH("VainqueurV",Réservé!$A$29:$A$30,0),MATCH($B20,Réservé!$B$4:$I$4,0)),TRUE,FALSE)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32" id="{9E08EE87-BA38-4E0F-89FC-56F2867ED629}">
            <xm:f>IF(1=INDEX(Réservé!$B$29:$I$30,MATCH("VainqueurH",Réservé!$A$29:$A$30,0),MATCH($B20,Réservé!$B$4:$I$4,0)),TRUE,FALSE)</xm:f>
            <x14:dxf>
              <font>
                <b/>
                <i val="0"/>
                <color rgb="FFFF0000"/>
              </font>
            </x14:dxf>
          </x14:cfRule>
          <xm:sqref>C20:F20</xm:sqref>
        </x14:conditionalFormatting>
        <x14:conditionalFormatting xmlns:xm="http://schemas.microsoft.com/office/excel/2006/main">
          <x14:cfRule type="expression" priority="3" id="{80370D7E-D639-4A6B-9685-34E9FA030811}">
            <xm:f>IF(1=INDEX(Réservé!$B$29:$I$30,MATCH("VainqueurV",Réservé!$A$29:$A$30,0),MATCH($B21,Réservé!$B$4:$I$4,0)),TRUE,FALSE)</xm:f>
            <x14:dxf>
              <font>
                <b/>
                <i val="0"/>
                <color auto="1"/>
              </font>
              <fill>
                <patternFill>
                  <bgColor rgb="FF0070C0"/>
                </patternFill>
              </fill>
            </x14:dxf>
          </x14:cfRule>
          <x14:cfRule type="expression" priority="13" id="{C7E78452-5E50-42C8-B036-B983626312A1}">
            <xm:f>IF(1=INDEX(Réservé!$B$29:$I$30,MATCH("VainqueurH",Réservé!$A$29:$A$30,0),MATCH($B21,Réservé!$B$4:$I$4,0)),TRUE,FALSE)</xm:f>
            <x14:dxf>
              <fill>
                <patternFill>
                  <bgColor rgb="FFFF0000"/>
                </patternFill>
              </fill>
            </x14:dxf>
          </x14:cfRule>
          <xm:sqref>B21</xm:sqref>
        </x14:conditionalFormatting>
        <x14:conditionalFormatting xmlns:xm="http://schemas.microsoft.com/office/excel/2006/main">
          <x14:cfRule type="expression" priority="23" id="{E86FDEDD-774A-428D-94EC-007D711A35E5}">
            <xm:f>IF(1=INDEX(Réservé!$B$29:$I$30,MATCH("VainqueurV",Réservé!$A$29:$A$30,0),MATCH($B19,Réservé!$B$4:$I$4,0)),TRUE,FALSE)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31" id="{DED72ED7-75FD-4E60-A78F-5E696812EA02}">
            <xm:f>IF(1=INDEX(Réservé!$B$29:$I$30,MATCH("VainqueurH",Réservé!$A$29:$A$30,0),MATCH($B19,Réservé!$B$4:$I$4,0)),TRUE,FALSE)</xm:f>
            <x14:dxf>
              <font>
                <b/>
                <i val="0"/>
                <color rgb="FFFF0000"/>
              </font>
            </x14:dxf>
          </x14:cfRule>
          <xm:sqref>C19:F19</xm:sqref>
        </x14:conditionalFormatting>
        <x14:conditionalFormatting xmlns:xm="http://schemas.microsoft.com/office/excel/2006/main">
          <x14:cfRule type="expression" priority="1" id="{83F764A9-8F35-4C56-8E40-70A9FF132F7B}">
            <xm:f>IF(1=INDEX(Réservé!$B$29:$I$30,MATCH("VainqueurV",Réservé!$A$29:$A$30,0),MATCH($B19,Réservé!$B$4:$I$4,0)),TRUE,FALSE)</xm:f>
            <x14:dxf>
              <font>
                <b/>
                <i val="0"/>
                <color auto="1"/>
              </font>
              <fill>
                <patternFill>
                  <bgColor rgb="FF0070C0"/>
                </patternFill>
              </fill>
            </x14:dxf>
          </x14:cfRule>
          <x14:cfRule type="expression" priority="11" id="{CBA19B86-0176-49AC-96C7-EDEB59AC24F3}">
            <xm:f>IF(1=INDEX(Réservé!$B$29:$I$30,MATCH("VainqueurH",Réservé!$A$29:$A$30,0),MATCH($B19,Réservé!$B$4:$I$4,0)),TRUE,FALSE)</xm:f>
            <x14:dxf>
              <fill>
                <patternFill>
                  <bgColor rgb="FFFF0000"/>
                </patternFill>
              </fill>
            </x14:dxf>
          </x14:cfRule>
          <xm:sqref>B19</xm:sqref>
        </x14:conditionalFormatting>
        <x14:conditionalFormatting xmlns:xm="http://schemas.microsoft.com/office/excel/2006/main">
          <x14:cfRule type="expression" priority="4" id="{54F2B6D3-ADB9-4C11-B0A5-2E4548B3026D}">
            <xm:f>IF(1=INDEX(Réservé!$B$29:$I$30,MATCH("VainqueurV",Réservé!$A$29:$A$30,0),MATCH($B22,Réservé!$B$4:$I$4,0)),TRUE,FALSE)</xm:f>
            <x14:dxf>
              <font>
                <b/>
                <i val="0"/>
                <color auto="1"/>
              </font>
              <fill>
                <patternFill>
                  <bgColor rgb="FF0070C0"/>
                </patternFill>
              </fill>
            </x14:dxf>
          </x14:cfRule>
          <x14:cfRule type="expression" priority="14" id="{EDCB9EBE-1EEA-47E8-87AB-7E940D5F65BC}">
            <xm:f>IF(1=INDEX(Réservé!$B$29:$I$30,MATCH("VainqueurH",Réservé!$A$29:$A$30,0),MATCH($B22,Réservé!$B$4:$I$4,0)),TRUE,FALSE)</xm:f>
            <x14:dxf>
              <fill>
                <patternFill>
                  <bgColor rgb="FFFF0000"/>
                </patternFill>
              </fill>
            </x14:dxf>
          </x14:cfRule>
          <xm:sqref>B22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M13"/>
  <sheetViews>
    <sheetView zoomScale="125" zoomScaleNormal="125" workbookViewId="0">
      <selection activeCell="C3" sqref="C3"/>
    </sheetView>
  </sheetViews>
  <sheetFormatPr baseColWidth="10" defaultRowHeight="15"/>
  <cols>
    <col min="1" max="1" width="0.5703125" style="89" customWidth="1"/>
    <col min="2" max="2" width="13.28515625" style="89" customWidth="1"/>
    <col min="3" max="4" width="18.7109375" style="89" customWidth="1"/>
    <col min="5" max="5" width="2.85546875" style="89" customWidth="1"/>
    <col min="6" max="6" width="45.7109375" style="89" customWidth="1"/>
    <col min="7" max="7" width="75.7109375" style="89" customWidth="1"/>
    <col min="8" max="8" width="25.7109375" style="89" customWidth="1"/>
    <col min="9" max="10" width="2.85546875" style="89" customWidth="1"/>
    <col min="11" max="16384" width="11.42578125" style="89"/>
  </cols>
  <sheetData>
    <row r="1" spans="1:13" ht="61.5">
      <c r="A1" s="1" t="s">
        <v>0</v>
      </c>
      <c r="B1" s="167">
        <v>1</v>
      </c>
      <c r="C1" s="168"/>
      <c r="D1" s="168"/>
      <c r="E1" s="87"/>
      <c r="F1" s="87"/>
      <c r="G1" s="88" t="e">
        <f ca="1">IF(Réservé!K9="","",CONCATENATE(Réservé!K9," - ",Réservé!K17))</f>
        <v>#REF!</v>
      </c>
    </row>
    <row r="2" spans="1:13" ht="46.5">
      <c r="A2" s="90"/>
      <c r="B2" s="86" t="e">
        <f ca="1">Réservé!K16</f>
        <v>#REF!</v>
      </c>
      <c r="C2" s="90"/>
      <c r="D2" s="87"/>
      <c r="E2" s="87"/>
      <c r="F2" s="87"/>
      <c r="G2" s="88" t="e">
        <f ca="1">IF(Réservé!K10="","",CONCATENATE(Réservé!K10," - ",Réservé!K18))</f>
        <v>#REF!</v>
      </c>
      <c r="H2" s="43" t="e">
        <f ca="1">CONCATENATE("Match N°",Réservé!K8)</f>
        <v>#REF!</v>
      </c>
      <c r="M2" s="91"/>
    </row>
    <row r="3" spans="1:13" ht="33.75">
      <c r="A3" s="90"/>
      <c r="B3" s="121"/>
      <c r="C3" s="92" t="e">
        <f ca="1">INDIRECT(Réservé!N5&amp;"C13")</f>
        <v>#REF!</v>
      </c>
      <c r="D3" s="93" t="e">
        <f ca="1">INDIRECT(Réservé!N5&amp;"I13")</f>
        <v>#REF!</v>
      </c>
      <c r="G3" s="87"/>
      <c r="H3" s="94" t="s">
        <v>20</v>
      </c>
    </row>
    <row r="4" spans="1:13" ht="60" customHeight="1">
      <c r="A4" s="87"/>
      <c r="B4" s="95" t="s">
        <v>1</v>
      </c>
      <c r="C4" s="106" t="e">
        <f ca="1">Réservé!K21</f>
        <v>#REF!</v>
      </c>
      <c r="D4" s="106" t="e">
        <f ca="1">Réservé!K22</f>
        <v>#REF!</v>
      </c>
      <c r="G4" s="87"/>
      <c r="H4" s="96" t="e">
        <f ca="1">Réservé!K7</f>
        <v>#REF!</v>
      </c>
      <c r="L4" s="97"/>
    </row>
    <row r="5" spans="1:13" ht="61.5">
      <c r="A5" s="98"/>
      <c r="B5" s="95" t="s">
        <v>2</v>
      </c>
      <c r="C5" s="106" t="e">
        <f ca="1">Réservé!K23</f>
        <v>#REF!</v>
      </c>
      <c r="D5" s="106" t="e">
        <f ca="1">Réservé!K24</f>
        <v>#REF!</v>
      </c>
      <c r="E5" s="98"/>
      <c r="F5" s="99" t="e">
        <f ca="1">IF(Réservé!K11="","",CONCATENATE(Réservé!K11," - ",Réservé!K19))</f>
        <v>#REF!</v>
      </c>
      <c r="G5" s="98"/>
      <c r="H5" s="100" t="s">
        <v>9</v>
      </c>
    </row>
    <row r="6" spans="1:13" ht="61.5">
      <c r="A6" s="98"/>
      <c r="B6" s="95" t="s">
        <v>3</v>
      </c>
      <c r="C6" s="106" t="e">
        <f ca="1">Réservé!K25</f>
        <v>#REF!</v>
      </c>
      <c r="D6" s="106" t="e">
        <f ca="1">Réservé!K26</f>
        <v>#REF!</v>
      </c>
      <c r="E6" s="98"/>
      <c r="F6" s="99" t="e">
        <f ca="1">IF(Réservé!K12="","",CONCATENATE(Réservé!K12," - ",Réservé!K20))</f>
        <v>#REF!</v>
      </c>
      <c r="G6" s="98"/>
      <c r="H6" s="101" t="e">
        <f ca="1">Réservé!K15</f>
        <v>#REF!</v>
      </c>
    </row>
    <row r="7" spans="1:13">
      <c r="A7" s="87"/>
      <c r="B7" s="87"/>
      <c r="C7" s="87"/>
      <c r="G7" s="87"/>
      <c r="H7" s="87"/>
    </row>
    <row r="8" spans="1:13" s="114" customFormat="1" ht="33.75">
      <c r="A8" s="113"/>
      <c r="B8" s="115" t="s">
        <v>84</v>
      </c>
      <c r="C8" s="165" t="s">
        <v>87</v>
      </c>
      <c r="D8" s="166"/>
      <c r="E8" s="116"/>
      <c r="F8" s="116" t="e">
        <f ca="1">INDIRECT(Réservé!N5&amp;"C13")</f>
        <v>#REF!</v>
      </c>
      <c r="G8" s="115" t="e">
        <f ca="1">INDIRECT(Réservé!N5&amp;"I13")</f>
        <v>#REF!</v>
      </c>
      <c r="H8" s="115" t="s">
        <v>9</v>
      </c>
    </row>
    <row r="9" spans="1:13" s="114" customFormat="1" ht="65.099999999999994" customHeight="1">
      <c r="A9" s="113"/>
      <c r="B9" s="117" t="str">
        <f t="array" aca="1" ref="B9" ca="1">IF(COUNTIFS(Réservé!$B$6:$I$6,$B$1,Réservé!$B$14:$I$14,"&lt;&gt;0")-ROW(B9)+ROW(B$9)&gt;0,LARGE(Réservé!$B$8:$I$8*IF((Réservé!$B$6:$I$6=$B$1),1,0)*IF((Réservé!$B$14:$I$14&lt;&gt;0),1,0),COUNTIFS(Réservé!$B$6:$I$6,$B$1,Réservé!$B$14:$I$14,"&lt;&gt;0")-ROW(B9)+ROW(B$9)),"")</f>
        <v/>
      </c>
      <c r="C9" s="113" t="str">
        <f ca="1">IF(ISNA(MATCH($B9,Réservé!$8:$8,0)),"",INDEX(Réservé!$16:$16,,MATCH($B9,Réservé!$8:$8,0)))</f>
        <v/>
      </c>
      <c r="D9" s="113"/>
      <c r="F9" s="118" t="str">
        <f ca="1">IF(ISNA(MATCH($B9,Réservé!$B$8:$I$8,0)),"",INDEX(Réservé!$B$41:$I$41,,MATCH($B9,Réservé!$B$8:$I$8,0)))</f>
        <v/>
      </c>
      <c r="G9" s="118" t="str">
        <f ca="1">IF(ISNA(MATCH($B9,Réservé!$B$8:$I$8,0)),"",INDEX(Réservé!$B$42:$I$42,,MATCH($B9,Réservé!$B$8:$I$8,0)))</f>
        <v/>
      </c>
      <c r="H9" s="119" t="str">
        <f ca="1">IF(ISNA(MATCH($B9,Réservé!$B$8:$I$8,0)),"",INDEX(Réservé!$B$15:$I$15,,MATCH($B9,Réservé!$B$8:$I$8,0)))</f>
        <v/>
      </c>
      <c r="I9" s="114" t="e">
        <f t="array" aca="1" ref="I9" ca="1">SUM(IF(Réservé!$B$8:$I$8*IF((Réservé!$B$6:$I$6=1),1,0)=0,1,0))</f>
        <v>#REF!</v>
      </c>
    </row>
    <row r="10" spans="1:13" s="114" customFormat="1" ht="65.099999999999994" customHeight="1">
      <c r="A10" s="113"/>
      <c r="B10" s="117" t="str">
        <f t="array" aca="1" ref="B10" ca="1">IF(COUNTIFS(Réservé!$B$6:$I$6,$B$1,Réservé!$B$14:$I$14,"&lt;&gt;0")-ROW(B10)+ROW(B$9)&gt;0,LARGE(Réservé!$B$8:$I$8*IF((Réservé!$B$6:$I$6=$B$1),1,0)*IF((Réservé!$B$14:$I$14&lt;&gt;0),1,0),COUNTIFS(Réservé!$B$6:$I$6,$B$1,Réservé!$B$14:$I$14,"&lt;&gt;0")-ROW(B10)+ROW(B$9)),"")</f>
        <v/>
      </c>
      <c r="C10" s="113" t="str">
        <f ca="1">IF(ISNA(MATCH(B10,Réservé!$8:$8,0)),"",INDEX(Réservé!$16:$16,,MATCH(B10,Réservé!$8:$8,0)))</f>
        <v/>
      </c>
      <c r="D10" s="113"/>
      <c r="F10" s="118" t="str">
        <f ca="1">IF(ISNA(MATCH($B10,Réservé!$B$8:$I$8,0)),"",INDEX(Réservé!$B$41:$I$41,,MATCH($B10,Réservé!$B$8:$I$8,0)))</f>
        <v/>
      </c>
      <c r="G10" s="118" t="str">
        <f ca="1">IF(ISNA(MATCH($B10,Réservé!$B$8:$I$8,0)),"",INDEX(Réservé!$B$42:$I$42,,MATCH($B10,Réservé!$B$8:$I$8,0)))</f>
        <v/>
      </c>
      <c r="H10" s="119" t="str">
        <f ca="1">IF(ISNA(MATCH($B10,Réservé!$B$8:$I$8,0)),"",INDEX(Réservé!$B$15:$I$15,,MATCH($B10,Réservé!$B$8:$I$8,0)))</f>
        <v/>
      </c>
      <c r="I10" s="114" t="e">
        <f t="array" aca="1" ref="I10" ca="1">SUM(IF(Réservé!$B$8:$I$8*IF((Réservé!$B$6:$I$6=1),1,0)=0,1,0))</f>
        <v>#REF!</v>
      </c>
    </row>
    <row r="11" spans="1:13" s="114" customFormat="1" ht="65.099999999999994" customHeight="1">
      <c r="B11" s="117" t="str">
        <f t="array" aca="1" ref="B11" ca="1">IF(COUNTIFS(Réservé!$B$6:$I$6,$B$1,Réservé!$B$14:$I$14,"&lt;&gt;0")-ROW(B11)+ROW(B$9)&gt;0,LARGE(Réservé!$B$8:$I$8*IF((Réservé!$B$6:$I$6=$B$1),1,0)*IF((Réservé!$B$14:$I$14&lt;&gt;0),1,0),COUNTIFS(Réservé!$B$6:$I$6,$B$1,Réservé!$B$14:$I$14,"&lt;&gt;0")-ROW(B11)+ROW(B$9)),"")</f>
        <v/>
      </c>
      <c r="C11" s="113" t="str">
        <f ca="1">IF(ISNA(MATCH(B11,Réservé!$8:$8,0)),"",INDEX(Réservé!$16:$16,,MATCH(B11,Réservé!$8:$8,0)))</f>
        <v/>
      </c>
      <c r="F11" s="118" t="str">
        <f ca="1">IF(ISNA(MATCH($B11,Réservé!$B$8:$I$8,0)),"",INDEX(Réservé!$B$41:$I$41,,MATCH($B11,Réservé!$B$8:$I$8,0)))</f>
        <v/>
      </c>
      <c r="G11" s="118" t="str">
        <f ca="1">IF(ISNA(MATCH($B11,Réservé!$B$8:$I$8,0)),"",INDEX(Réservé!$B$42:$I$42,,MATCH($B11,Réservé!$B$8:$I$8,0)))</f>
        <v/>
      </c>
      <c r="H11" s="119" t="str">
        <f ca="1">IF(ISNA(MATCH($B11,Réservé!$B$8:$I$8,0)),"",INDEX(Réservé!$B$15:$I$15,,MATCH($B11,Réservé!$B$8:$I$8,0)))</f>
        <v/>
      </c>
      <c r="I11" s="114" t="e">
        <f t="array" aca="1" ref="I11" ca="1">SUM(IF(Réservé!$B$8:$I$8*IF((Réservé!$B$6:$I$6=1),1,0)=0,1,0))</f>
        <v>#REF!</v>
      </c>
    </row>
    <row r="12" spans="1:13" ht="65.099999999999994" customHeight="1">
      <c r="B12" s="117" t="str">
        <f t="array" aca="1" ref="B12" ca="1">IF(COUNTIFS(Réservé!$B$6:$I$6,$B$1,Réservé!$B$14:$I$14,"&lt;&gt;0")-ROW(B12)+ROW(B$9)&gt;0,LARGE(Réservé!$B$8:$I$8*IF((Réservé!$B$6:$I$6=$B$1),1,0)*IF((Réservé!$B$14:$I$14&lt;&gt;0),1,0),COUNTIFS(Réservé!$B$6:$I$6,$B$1,Réservé!$B$14:$I$14,"&lt;&gt;0")-ROW(B12)+ROW(B$9)),"")</f>
        <v/>
      </c>
      <c r="C12" s="113" t="str">
        <f ca="1">IF(ISNA(MATCH(B12,Réservé!$8:$8,0)),"",INDEX(Réservé!$16:$16,,MATCH(B12,Réservé!$8:$8,0)))</f>
        <v/>
      </c>
      <c r="F12" s="118" t="str">
        <f ca="1">IF(ISNA(MATCH($B12,Réservé!$B$8:$I$8,0)),"",INDEX(Réservé!$B$41:$I$41,,MATCH($B12,Réservé!$B$8:$I$8,0)))</f>
        <v/>
      </c>
      <c r="G12" s="118" t="str">
        <f ca="1">IF(ISNA(MATCH($B12,Réservé!$B$8:$I$8,0)),"",INDEX(Réservé!$B$42:$I$42,,MATCH($B12,Réservé!$B$8:$I$8,0)))</f>
        <v/>
      </c>
      <c r="H12" s="119" t="str">
        <f ca="1">IF(ISNA(MATCH($B12,Réservé!$B$8:$I$8,0)),"",INDEX(Réservé!$B$15:$I$15,,MATCH($B12,Réservé!$B$8:$I$8,0)))</f>
        <v/>
      </c>
      <c r="I12" s="114" t="e">
        <f t="array" aca="1" ref="I12" ca="1">SUM(IF(Réservé!$B$8:$I$8*IF((Réservé!$B$6:$I$6=1),1,0)=0,1,0))</f>
        <v>#REF!</v>
      </c>
    </row>
    <row r="13" spans="1:13" ht="33.75">
      <c r="B13" s="117" t="str">
        <f t="array" aca="1" ref="B13" ca="1">IF(COUNTIFS(Réservé!$B$6:$I$6,$B$1,Réservé!$B$14:$I$14,"&lt;&gt;0")-ROW(B13)+ROW(B$9)&gt;0,LARGE(Réservé!$B$8:$I$8*IF((Réservé!$B$6:$I$6=$B$1),1,0)*IF((Réservé!$B$14:$I$14&lt;&gt;0),1,0),COUNTIFS(Réservé!$B$6:$I$6,$B$1,Réservé!$B$14:$I$14,"&lt;&gt;0")-ROW(B13)+ROW(B$9)),"")</f>
        <v/>
      </c>
      <c r="C13" s="113" t="str">
        <f ca="1">IF(ISNA(MATCH(B13,Réservé!$B$8:$I$8,0)),"",INDEX(Réservé!$16:$16,,MATCH(B13,Réservé!$B$8:$I$8,0)))</f>
        <v/>
      </c>
      <c r="F13" s="118" t="str">
        <f ca="1">IF(ISNA(MATCH($B13,Réservé!$B$8:$I$8,0)),"",INDEX(Réservé!$B$41:$I$41,,MATCH($B13,Réservé!$B$8:$I$8,0)))</f>
        <v/>
      </c>
      <c r="G13" s="118" t="str">
        <f ca="1">IF(ISNA(MATCH($B13,Réservé!$B$8:$I$8,0)),"",INDEX(Réservé!$B$42:$I$42,,MATCH($B13,Réservé!$B$8:$I$8,0)))</f>
        <v/>
      </c>
      <c r="H13" s="119" t="str">
        <f ca="1">IF(ISNA(MATCH($B13,Réservé!$B$8:$I$8,0)),"",INDEX(Réservé!$B$15:$I$15,,MATCH($B13,Réservé!$B$8:$I$8,0)))</f>
        <v/>
      </c>
      <c r="I13" s="114" t="e">
        <f t="array" aca="1" ref="I13" ca="1">SUM(IF(Réservé!$B$8:$I$8*IF((Réservé!$B$6:$I$6=1),1,0)=0,1,0))</f>
        <v>#REF!</v>
      </c>
    </row>
  </sheetData>
  <sheetProtection selectLockedCells="1" selectUnlockedCells="1"/>
  <mergeCells count="2">
    <mergeCell ref="C8:D8"/>
    <mergeCell ref="B1:D1"/>
  </mergeCells>
  <pageMargins left="0.70866141732283472" right="0.11811023622047245" top="0" bottom="0" header="0" footer="0.39370078740157483"/>
  <pageSetup paperSize="9" scale="57" orientation="landscape" r:id="rId1"/>
  <headerFooter>
    <oddFooter>Page &amp;P de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" id="{3FAF1BEA-3B01-4173-8725-F3424A590125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57" id="{101DD679-2365-420E-A8B7-D8E65BA3C663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m:sqref>H9:H12 C9:F12</xm:sqref>
        </x14:conditionalFormatting>
        <x14:conditionalFormatting xmlns:xm="http://schemas.microsoft.com/office/excel/2006/main">
          <x14:cfRule type="expression" priority="28" id="{8D508057-1A50-4B25-85CA-9837CF9D155E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45" id="{193EC7D9-26A1-4EFF-B35E-5B0BBD73EC7E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5" id="{EF818207-30F4-4C42-97AE-3B1181439198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5" id="{A5337945-6DBE-46A9-86BC-9205DE9D5920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4" id="{BB42DE95-7E77-4354-AEBA-67641EF5B45C}">
            <xm:f>IF(ISNA(MATCH($B12,Réservé!$8:$8,0)),"",INDEX(Réservé!$30:$30,,MATCH($B12,Réservé!$8:$8,0))=1)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4" id="{9C0192DC-37EC-4801-9A5A-75DE32FD67B6}">
            <xm:f>IF(ISNA(MATCH($B12,Réservé!$8:$8,0)),"",INDEX(Réservé!$29:$29,,MATCH($B12,Réservé!$8:$8,0))=1)</xm:f>
            <x14:dxf>
              <fill>
                <patternFill>
                  <bgColor rgb="FFFF0000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29" id="{CCDE5B33-EAAC-4F93-91FD-C5A14E4BBCE8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46" id="{31BFBCDC-553F-467C-8DBB-6F3E25F2B783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m:sqref>C13:E13</xm:sqref>
        </x14:conditionalFormatting>
        <x14:conditionalFormatting xmlns:xm="http://schemas.microsoft.com/office/excel/2006/main">
          <x14:cfRule type="expression" priority="27" id="{A8D3A4EF-4C32-4E4C-8F68-EC40C10BDF01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40" id="{69561E92-F3EF-4405-89A0-7F03E1118FF9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10" id="{CADB6F24-6EF4-4457-B74C-0F66DD0D75E7}">
            <xm:f>IF(ISNA(MATCH($B12,Réservé!$8:$8,0)),"",INDEX(Réservé!$30:$30,,MATCH($B12,Réservé!$8:$8,0))=1)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9" id="{B5298D7C-88DA-4857-9654-0F5F39A197CB}">
            <xm:f>IF(ISNA(MATCH($B12,Réservé!$8:$8,0)),"",INDEX(Réservé!$29:$29,,MATCH($B12,Réservé!$8:$8,0))=1)</xm:f>
            <x14:dxf>
              <fill>
                <patternFill>
                  <bgColor rgb="FFFF0000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9" id="{D65AB59B-CE49-4CB2-B870-3050B06E0B99}">
            <xm:f>IF(ISNA(MATCH($B11,Réservé!$8:$8,0)),"",INDEX(Réservé!$30:$30,,MATCH($B11,Réservé!$8:$8,0))=1)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8" id="{07D855EB-0BA8-4295-A822-61C711F0F1AF}">
            <xm:f>IF(ISNA(MATCH($B11,Réservé!$8:$8,0)),"",INDEX(Réservé!$29:$29,,MATCH($B11,Réservé!$8:$8,0))=1)</xm:f>
            <x14:dxf>
              <fill>
                <patternFill>
                  <bgColor rgb="FFFF000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8" id="{6E68544B-5C54-4E7D-8DC3-747F27208F5D}">
            <xm:f>IF(ISNA(MATCH($B10,Réservé!$8:$8,0)),"",INDEX(Réservé!$30:$30,,MATCH($B10,Réservé!$8:$8,0))=1)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7" id="{36792ACF-1696-4104-BFD8-3F4C036CCEF6}">
            <xm:f>IF(ISNA(MATCH($B10,Réservé!$8:$8,0)),"",INDEX(Réservé!$29:$29,,MATCH($B10,Réservé!$8:$8,0))=1)</xm:f>
            <x14:dxf>
              <fill>
                <patternFill>
                  <bgColor rgb="FFFF0000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expression" priority="7" id="{864DA937-900D-4570-87D9-BC428E56DEB4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6" id="{0D783C3B-BFDE-4766-B241-9D96E8F3A4B6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expression" priority="6" id="{DCE37B49-0A2C-4FEB-A8AA-12E94577302E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58" id="{788E6AD0-CA4B-4B10-A187-CAD0C8949DE7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1" id="{F9FD587D-A582-4F49-B8AB-2444D30AE933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1" id="{AFD6EB94-73E2-4700-AE18-D8CC2A4E64C1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expression" priority="3" id="{3016335B-A2DA-4E58-9E7E-C75FC67EB62B}">
            <xm:f>IF(ISNA(MATCH($B11,Réservé!$8:$8,0)),"",INDEX(Réservé!$30:$30,,MATCH($B11,Réservé!$8:$8,0))=1)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3" id="{C3B5CDC2-8E82-4F53-850A-CFA564B7F290}">
            <xm:f>IF(ISNA(MATCH($B11,Réservé!$8:$8,0)),"",INDEX(Réservé!$29:$29,,MATCH($B11,Réservé!$8:$8,0))=1)</xm:f>
            <x14:dxf>
              <fill>
                <patternFill>
                  <bgColor rgb="FFFF0000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2" id="{98EDD35B-C7BF-4F1D-8F1C-1E513B55C872}">
            <xm:f>IF(ISNA(MATCH($B10,Réservé!$8:$8,0)),"",INDEX(Réservé!$30:$30,,MATCH($B10,Réservé!$8:$8,0))=1)</xm:f>
            <x14:dxf>
              <fill>
                <patternFill>
                  <bgColor rgb="FF0070C0"/>
                </patternFill>
              </fill>
            </x14:dxf>
          </x14:cfRule>
          <x14:cfRule type="expression" priority="32" id="{01E22E76-D6ED-4E6C-88CA-60FCA0CAC14A}">
            <xm:f>IF(ISNA(MATCH($B10,Réservé!$8:$8,0)),"",INDEX(Réservé!$29:$29,,MATCH($B10,Réservé!$8:$8,0))=1)</xm:f>
            <x14:dxf>
              <fill>
                <patternFill>
                  <bgColor rgb="FFFF0000"/>
                </patternFill>
              </fill>
            </x14:dxf>
          </x14:cfRule>
          <xm:sqref>B10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O9"/>
  <sheetViews>
    <sheetView zoomScale="90" zoomScaleNormal="90" workbookViewId="0">
      <selection activeCell="B1" sqref="B1"/>
    </sheetView>
  </sheetViews>
  <sheetFormatPr baseColWidth="10" defaultRowHeight="36"/>
  <cols>
    <col min="1" max="1" width="8.140625" style="72" customWidth="1"/>
    <col min="2" max="2" width="14" style="72" customWidth="1"/>
    <col min="3" max="4" width="100.7109375" style="72" customWidth="1"/>
    <col min="5" max="5" width="17.28515625" style="72" customWidth="1"/>
    <col min="6" max="6" width="16.5703125" style="72" customWidth="1"/>
    <col min="7" max="7" width="1" style="72" customWidth="1"/>
    <col min="8" max="8" width="4.7109375" style="72" customWidth="1"/>
    <col min="9" max="9" width="9.28515625" style="124" customWidth="1"/>
    <col min="10" max="10" width="15.85546875" style="72" customWidth="1"/>
    <col min="11" max="11" width="40.7109375" style="72" customWidth="1"/>
    <col min="12" max="12" width="19.42578125" style="72" customWidth="1"/>
    <col min="13" max="13" width="12.7109375" style="72" customWidth="1"/>
    <col min="14" max="19" width="11.42578125" style="72"/>
    <col min="20" max="20" width="17" style="72" customWidth="1"/>
    <col min="21" max="21" width="22.7109375" style="72" customWidth="1"/>
    <col min="22" max="22" width="16.7109375" style="72" customWidth="1"/>
    <col min="23" max="23" width="36.7109375" style="72" customWidth="1"/>
    <col min="24" max="24" width="35.7109375" style="72" customWidth="1"/>
    <col min="25" max="30" width="5.42578125" style="72" customWidth="1"/>
    <col min="31" max="31" width="7.85546875" style="72" customWidth="1"/>
    <col min="32" max="32" width="6.42578125" style="72" customWidth="1"/>
    <col min="33" max="33" width="18.28515625" style="72" customWidth="1"/>
    <col min="34" max="34" width="15.28515625" style="72" customWidth="1"/>
    <col min="35" max="35" width="15.5703125" style="72" customWidth="1"/>
    <col min="36" max="36" width="15.28515625" style="72" customWidth="1"/>
    <col min="37" max="37" width="17.140625" style="72" customWidth="1"/>
    <col min="38" max="38" width="15.28515625" style="72" customWidth="1"/>
    <col min="39" max="39" width="15.5703125" style="72" customWidth="1"/>
    <col min="40" max="40" width="15.28515625" style="72" customWidth="1"/>
    <col min="41" max="41" width="18.28515625" style="72" customWidth="1"/>
    <col min="42" max="42" width="22.28515625" style="72" customWidth="1"/>
    <col min="43" max="43" width="22.7109375" style="72" bestFit="1" customWidth="1"/>
    <col min="44" max="44" width="22.28515625" style="72" bestFit="1" customWidth="1"/>
    <col min="45" max="45" width="18.5703125" style="72" bestFit="1" customWidth="1"/>
    <col min="46" max="46" width="22.28515625" style="72" bestFit="1" customWidth="1"/>
    <col min="47" max="47" width="22.7109375" style="72" bestFit="1" customWidth="1"/>
    <col min="48" max="48" width="22.28515625" style="72" bestFit="1" customWidth="1"/>
    <col min="49" max="16384" width="11.42578125" style="72"/>
  </cols>
  <sheetData>
    <row r="1" spans="1:41" ht="53.25" customHeight="1">
      <c r="A1" s="25" t="s">
        <v>7</v>
      </c>
      <c r="B1" s="79" t="s">
        <v>14</v>
      </c>
      <c r="C1" s="71" t="e">
        <f ca="1">INDIRECT(Réservé!N5&amp;"C13")</f>
        <v>#REF!</v>
      </c>
      <c r="D1" s="85" t="e">
        <f ca="1">INDIRECT(Réservé!N5&amp;"I13")</f>
        <v>#REF!</v>
      </c>
      <c r="E1" s="24" t="s">
        <v>6</v>
      </c>
      <c r="F1" s="24" t="s">
        <v>9</v>
      </c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</row>
    <row r="2" spans="1:41" ht="105" customHeight="1">
      <c r="A2" s="78" t="e">
        <f ca="1">IF(B2="","",INDEX(Réservé!$B$8:$I$8,MATCH(B2,Réservé!$B$4:$I$4,0)))</f>
        <v>#REF!</v>
      </c>
      <c r="B2" s="75" t="e">
        <f t="array" aca="1" ref="B2" ca="1">IF(Scores!B19&lt;&gt;"0",Scores!B19,INDEX(Réservé!$B$4:$I$4,,MATCH(LARGE((Réservé!$B$14:$I$14=0)*(Réservé!$B$8:$I$8),ROW(B$10)-ROW(B2)),Réservé!B$8:I$8,0)))</f>
        <v>#REF!</v>
      </c>
      <c r="C2" s="73" t="e">
        <f ca="1">IF(B2="","",INDEX(Réservé!$B$41:$I$41,MATCH($B2,Réservé!$B$4:$I$4,0)))</f>
        <v>#REF!</v>
      </c>
      <c r="D2" s="73" t="e">
        <f ca="1">IF(B2="","",INDEX(Réservé!$B$42:$I$42,MATCH($B2,Réservé!$B$4:$I$4,0)))</f>
        <v>#REF!</v>
      </c>
      <c r="E2" s="74" t="e">
        <f ca="1">IF(B2="","",INDEX(Réservé!$B$27:$I$27,MATCH(B2,Réservé!$B$4:$I$4,0)))</f>
        <v>#REF!</v>
      </c>
      <c r="F2" s="75" t="e">
        <f ca="1">IF(B2="","",INDEX(Réservé!$B$15:$I$15,MATCH(B2,Réservé!$B$4:$I$4,0)))</f>
        <v>#REF!</v>
      </c>
      <c r="J2" s="125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</row>
    <row r="3" spans="1:41" ht="105" customHeight="1">
      <c r="A3" s="78" t="e">
        <f ca="1">IF(B3="","",INDEX(Réservé!$B$8:$I$8,MATCH(B3,Réservé!$B$4:$I$4,0)))</f>
        <v>#REF!</v>
      </c>
      <c r="B3" s="75" t="e">
        <f t="array" aca="1" ref="B3" ca="1">IF(Scores!B20&lt;&gt;"0",Scores!B20,INDEX(Réservé!$B$4:$I$4,,MATCH(LARGE((Réservé!$B$14:$I$14=0)*(Réservé!$B$8:$I$8),ROW(B$10)-ROW(B3)),Réservé!B$8:I$8,0)))</f>
        <v>#REF!</v>
      </c>
      <c r="C3" s="73" t="e">
        <f ca="1">IF(B3="","",INDEX(Réservé!$B$41:$I$41,MATCH($B3,Réservé!$B$4:$I$4,0)))</f>
        <v>#REF!</v>
      </c>
      <c r="D3" s="73" t="e">
        <f ca="1">IF(B3="","",INDEX(Réservé!$B$42:$I$42,MATCH($B3,Réservé!$B$4:$I$4,0)))</f>
        <v>#REF!</v>
      </c>
      <c r="E3" s="74" t="e">
        <f ca="1">IF(B3="","",INDEX(Réservé!$B$27:$I$27,MATCH(B3,Réservé!$B$4:$I$4,0)))</f>
        <v>#REF!</v>
      </c>
      <c r="F3" s="75" t="e">
        <f ca="1">IF(B3="","",INDEX(Réservé!$B$15:$I$15,MATCH(B3,Réservé!$B$4:$I$4,0)))</f>
        <v>#REF!</v>
      </c>
      <c r="G3" s="77"/>
      <c r="J3" s="125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</row>
    <row r="4" spans="1:41" ht="105" customHeight="1">
      <c r="A4" s="78" t="e">
        <f ca="1">IF(B4="","",INDEX(Réservé!$B$8:$I$8,MATCH(B4,Réservé!$B$4:$I$4,0)))</f>
        <v>#REF!</v>
      </c>
      <c r="B4" s="75" t="e">
        <f t="array" aca="1" ref="B4" ca="1">IF(Scores!B21&lt;&gt;"0",Scores!B21,INDEX(Réservé!$B$4:$I$4,,MATCH(LARGE((Réservé!$B$14:$I$14=0)*(Réservé!$B$8:$I$8),ROW(B$10)-ROW(B4)),Réservé!B$8:I$8,0)))</f>
        <v>#REF!</v>
      </c>
      <c r="C4" s="73" t="e">
        <f ca="1">IF(B4="","",INDEX(Réservé!$B$41:$I$41,MATCH($B4,Réservé!$B$4:$I$4,0)))</f>
        <v>#REF!</v>
      </c>
      <c r="D4" s="73" t="e">
        <f ca="1">IF(B4="","",INDEX(Réservé!$B$42:$I$42,MATCH($B4,Réservé!$B$4:$I$4,0)))</f>
        <v>#REF!</v>
      </c>
      <c r="E4" s="74" t="e">
        <f ca="1">IF(B4="","",INDEX(Réservé!$B$27:$I$27,MATCH(B4,Réservé!$B$4:$I$4,0)))</f>
        <v>#REF!</v>
      </c>
      <c r="F4" s="75" t="e">
        <f ca="1">IF(B4="","",INDEX(Réservé!$B$15:$I$15,MATCH(B4,Réservé!$B$4:$I$4,0)))</f>
        <v>#REF!</v>
      </c>
      <c r="G4" s="77"/>
      <c r="J4" s="125"/>
    </row>
    <row r="5" spans="1:41" ht="105" customHeight="1">
      <c r="A5" s="78" t="e">
        <f ca="1">IF(B5="","",INDEX(Réservé!$B$8:$I$8,MATCH(B5,Réservé!$B$4:$I$4,0)))</f>
        <v>#REF!</v>
      </c>
      <c r="B5" s="75" t="e">
        <f t="array" aca="1" ref="B5" ca="1">IF(Scores!B22&lt;&gt;"0",Scores!B22,INDEX(Réservé!$B$4:$I$4,,MATCH(LARGE((Réservé!$B$14:$I$14=0)*(Réservé!$B$8:$I$8),ROW(B$10)-ROW(B5)),Réservé!B$8:I$8,0)))</f>
        <v>#REF!</v>
      </c>
      <c r="C5" s="73" t="e">
        <f ca="1">IF(B5="","",INDEX(Réservé!$B$41:$I$41,MATCH($B5,Réservé!$B$4:$I$4,0)))</f>
        <v>#REF!</v>
      </c>
      <c r="D5" s="73" t="e">
        <f ca="1">IF(B5="","",INDEX(Réservé!$B$42:$I$42,MATCH($B5,Réservé!$B$4:$I$4,0)))</f>
        <v>#REF!</v>
      </c>
      <c r="E5" s="74" t="e">
        <f ca="1">IF(B5="","",INDEX(Réservé!$B$27:$I$27,MATCH(B5,Réservé!$B$4:$I$4,0)))</f>
        <v>#REF!</v>
      </c>
      <c r="F5" s="75" t="e">
        <f ca="1">IF(B5="","",INDEX(Réservé!$B$15:$I$15,MATCH(B5,Réservé!$B$4:$I$4,0)))</f>
        <v>#REF!</v>
      </c>
      <c r="I5" s="125"/>
      <c r="J5" s="125"/>
    </row>
    <row r="6" spans="1:41" ht="105" customHeight="1">
      <c r="A6" s="78" t="e">
        <f ca="1">IF(B6="","",INDEX(Réservé!$B$8:$I$8,MATCH(B6,Réservé!$B$4:$I$4,0)))</f>
        <v>#REF!</v>
      </c>
      <c r="B6" s="75" t="e">
        <f t="array" aca="1" ref="B6" ca="1">IF(Scores!B23&lt;&gt;"0",Scores!B23,INDEX(Réservé!$B$4:$I$4,,MATCH(LARGE((Réservé!$B$14:$I$14=0)*(Réservé!$B$8:$I$8),ROW(B$10)-ROW(B6)),Réservé!B$8:I$8,0)))</f>
        <v>#REF!</v>
      </c>
      <c r="C6" s="73" t="e">
        <f ca="1">IF(B6="","",INDEX(Réservé!$B$41:$I$41,MATCH($B6,Réservé!$B$4:$I$4,0)))</f>
        <v>#REF!</v>
      </c>
      <c r="D6" s="73" t="e">
        <f ca="1">IF(B6="","",INDEX(Réservé!$B$42:$I$42,MATCH($B6,Réservé!$B$4:$I$4,0)))</f>
        <v>#REF!</v>
      </c>
      <c r="E6" s="74" t="e">
        <f ca="1">IF(B6="","",INDEX(Réservé!$B$27:$I$27,MATCH(B6,Réservé!$B$4:$I$4,0)))</f>
        <v>#REF!</v>
      </c>
      <c r="F6" s="75" t="e">
        <f ca="1">IF(B6="","",INDEX(Réservé!$B$15:$I$15,MATCH(B6,Réservé!$B$4:$I$4,0)))</f>
        <v>#REF!</v>
      </c>
      <c r="I6" s="125"/>
      <c r="J6" s="125"/>
    </row>
    <row r="7" spans="1:41" ht="105" customHeight="1">
      <c r="A7" s="78" t="e">
        <f ca="1">IF(B7="","",INDEX(Réservé!$B$8:$I$8,MATCH(B7,Réservé!$B$4:$I$4,0)))</f>
        <v>#REF!</v>
      </c>
      <c r="B7" s="75" t="e">
        <f t="array" aca="1" ref="B7" ca="1">IF(Scores!B24&lt;&gt;"0",Scores!B24,INDEX(Réservé!$B$4:$I$4,,MATCH(LARGE((Réservé!$B$14:$I$14=0)*(Réservé!$B$8:$I$8),ROW(B$10)-ROW(B7)),Réservé!B$8:I$8,0)))</f>
        <v>#REF!</v>
      </c>
      <c r="C7" s="73" t="e">
        <f ca="1">IF(B7="","",INDEX(Réservé!$B$41:$I$41,MATCH($B7,Réservé!$B$4:$I$4,0)))</f>
        <v>#REF!</v>
      </c>
      <c r="D7" s="73" t="e">
        <f ca="1">IF(B7="","",INDEX(Réservé!$B$42:$I$42,MATCH($B7,Réservé!$B$4:$I$4,0)))</f>
        <v>#REF!</v>
      </c>
      <c r="E7" s="74" t="e">
        <f ca="1">IF(B7="","",INDEX(Réservé!$B$27:$I$27,MATCH(B7,Réservé!$B$4:$I$4,0)))</f>
        <v>#REF!</v>
      </c>
      <c r="F7" s="75" t="e">
        <f ca="1">IF(B7="","",INDEX(Réservé!$B$15:$I$15,MATCH(B7,Réservé!$B$4:$I$4,0)))</f>
        <v>#REF!</v>
      </c>
      <c r="I7" s="125"/>
      <c r="J7" s="125"/>
    </row>
    <row r="8" spans="1:41" ht="105" customHeight="1">
      <c r="A8" s="78" t="e">
        <f ca="1">IF(B8="","",INDEX(Réservé!$B$8:$I$8,MATCH(B8,Réservé!$B$4:$I$4,0)))</f>
        <v>#REF!</v>
      </c>
      <c r="B8" s="75" t="e">
        <f t="array" aca="1" ref="B8" ca="1">IF(Scores!B25&lt;&gt;"0",Scores!B25,INDEX(Réservé!$B$4:$I$4,,MATCH(LARGE((Réservé!$B$14:$I$14=0)*(Réservé!$B$8:$I$8),ROW(B$10)-ROW(B8)),Réservé!B$8:I$8,0)))</f>
        <v>#REF!</v>
      </c>
      <c r="C8" s="73" t="e">
        <f ca="1">IF(B8="","",INDEX(Réservé!$B$41:$I$41,MATCH($B8,Réservé!$B$4:$I$4,0)))</f>
        <v>#REF!</v>
      </c>
      <c r="D8" s="73" t="e">
        <f ca="1">IF(B8="","",INDEX(Réservé!$B$42:$I$42,MATCH($B8,Réservé!$B$4:$I$4,0)))</f>
        <v>#REF!</v>
      </c>
      <c r="E8" s="74" t="e">
        <f ca="1">IF(B8="","",INDEX(Réservé!$B$27:$I$27,MATCH(B8,Réservé!$B$4:$I$4,0)))</f>
        <v>#REF!</v>
      </c>
      <c r="F8" s="75" t="e">
        <f ca="1">IF(B8="","",INDEX(Réservé!$B$15:$I$15,MATCH(B8,Réservé!$B$4:$I$4,0)))</f>
        <v>#REF!</v>
      </c>
      <c r="I8" s="125"/>
      <c r="J8" s="125"/>
    </row>
    <row r="9" spans="1:41" ht="105" customHeight="1">
      <c r="A9" s="78" t="e">
        <f ca="1">IF(B9="","",INDEX(Réservé!$B$8:$I$8,MATCH(B9,Réservé!$B$4:$I$4,0)))</f>
        <v>#REF!</v>
      </c>
      <c r="B9" s="75" t="e">
        <f t="array" aca="1" ref="B9" ca="1">IF(Scores!B26&lt;&gt;"0",Scores!B26,INDEX(Réservé!$B$4:$I$4,,MATCH(LARGE((Réservé!$B$14:$I$14=0)*(Réservé!$B$8:$I$8),ROW(B$10)-ROW(B9)),Réservé!B$8:I$8,0)))</f>
        <v>#REF!</v>
      </c>
      <c r="C9" s="73" t="e">
        <f ca="1">IF(B9="","",INDEX(Réservé!$B$41:$I$41,MATCH($B9,Réservé!$B$4:$I$4,0)))</f>
        <v>#REF!</v>
      </c>
      <c r="D9" s="73" t="e">
        <f ca="1">IF(B9="","",INDEX(Réservé!$B$42:$I$42,MATCH($B9,Réservé!$B$4:$I$4,0)))</f>
        <v>#REF!</v>
      </c>
      <c r="E9" s="74" t="e">
        <f ca="1">IF(B9="","",INDEX(Réservé!$B$27:$I$27,MATCH(B9,Réservé!$B$4:$I$4,0)))</f>
        <v>#REF!</v>
      </c>
      <c r="F9" s="75" t="e">
        <f ca="1">IF(B9="","",INDEX(Réservé!$B$15:$I$15,MATCH(B9,Réservé!$B$4:$I$4,0)))</f>
        <v>#REF!</v>
      </c>
      <c r="I9" s="125"/>
      <c r="J9" s="125"/>
    </row>
  </sheetData>
  <sheetProtection selectLockedCells="1" selectUnlockedCells="1"/>
  <pageMargins left="0.70866141732283472" right="0.11811023622047245" top="0" bottom="0" header="0" footer="0.39370078740157483"/>
  <pageSetup paperSize="9" scale="54" orientation="landscape" r:id="rId1"/>
  <headerFooter>
    <oddFooter>Page &amp;P de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1" id="{6C6A66F5-99D2-455A-A8F6-6CE6027A27DF}">
            <xm:f>IF(1=INDEX(Réservé!$B$29:$I$30,MATCH("VainqueurH",Réservé!$A$29:$A$30,0),MATCH($B9,Réservé!$B$4:$I$4,0)),TRUE,FALSE)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212" id="{5FFB8146-31CA-4A0B-9B5F-6E1ED76DDFAB}">
            <xm:f>IF(1=INDEX(Réservé!$B$29:$I$30,MATCH("VainqueurV",Réservé!$A$29:$A$30,0),MATCH($B9,Réservé!$B$4:$I$4,0)),TRUE,FALSE)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A9</xm:sqref>
        </x14:conditionalFormatting>
        <x14:conditionalFormatting xmlns:xm="http://schemas.microsoft.com/office/excel/2006/main">
          <x14:cfRule type="expression" priority="213" id="{4BCC5F71-5002-4C54-9E91-E3BA8C751331}">
            <xm:f>IF(1=INDEX(Réservé!$B$29:$I$30,MATCH("VainqueurV",Réservé!$A$29:$A$30,0),MATCH($B9,Réservé!$B$4:$I$4,0)),TRUE,FALSE)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214" id="{478FD212-488E-4DFE-9414-98EBA692F355}">
            <xm:f>IF(1=INDEX(Réservé!$B$29:$I$30,MATCH("VainqueurH",Réservé!$A$29:$A$30,0),MATCH($B9,Réservé!$B$4:$I$4,0)),TRUE,FALSE)</xm:f>
            <x14:dxf>
              <font>
                <b/>
                <i val="0"/>
                <color rgb="FFFF0000"/>
              </font>
            </x14:dxf>
          </x14:cfRule>
          <xm:sqref>E9:F9</xm:sqref>
        </x14:conditionalFormatting>
        <x14:conditionalFormatting xmlns:xm="http://schemas.microsoft.com/office/excel/2006/main">
          <x14:cfRule type="expression" priority="129" id="{CAEF060B-DAF9-4119-AA2F-7947E7092FF5}">
            <xm:f>IF(1=INDEX(Réservé!$B$29:$I$30,MATCH("VainqueurV",Réservé!$A$29:$A$30,0),MATCH($B2,Réservé!$B$4:$I$4,0)),TRUE,FALSE)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30" id="{4EEBDCD5-C4DE-48AD-8F6B-8FA0DE6E408D}">
            <xm:f>IF(1=INDEX(Réservé!$B$29:$I$30,MATCH("VainqueurH",Réservé!$A$29:$A$30,0),MATCH($B2,Réservé!$B$4:$I$4,0)),TRUE,FALSE)</xm:f>
            <x14:dxf>
              <font>
                <b/>
                <i val="0"/>
                <color rgb="FFFF0000"/>
              </font>
            </x14:dxf>
          </x14:cfRule>
          <xm:sqref>C2:D2</xm:sqref>
        </x14:conditionalFormatting>
        <x14:conditionalFormatting xmlns:xm="http://schemas.microsoft.com/office/excel/2006/main">
          <x14:cfRule type="expression" priority="185" id="{CD5691EE-A6AB-4718-B19C-26A8234CBC64}">
            <xm:f>IF(1=INDEX(Réservé!$B$29:$I$30,MATCH("VainqueurV",Réservé!$A$29:$A$30,0),MATCH($B9,Réservé!$B$4:$I$4,0)),TRUE,FALSE)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86" id="{77EE4F0C-87BB-4BB0-A7B8-B2CC88792E28}">
            <xm:f>IF(1=INDEX(Réservé!$B$29:$I$30,MATCH("VainqueurH",Réservé!$A$29:$A$30,0),MATCH($B9,Réservé!$B$4:$I$4,0)),TRUE,FALSE)</xm:f>
            <x14:dxf>
              <font>
                <b/>
                <i val="0"/>
                <color rgb="FFFF0000"/>
              </font>
            </x14:dxf>
          </x14:cfRule>
          <xm:sqref>C9:D9</xm:sqref>
        </x14:conditionalFormatting>
        <x14:conditionalFormatting xmlns:xm="http://schemas.microsoft.com/office/excel/2006/main">
          <x14:cfRule type="expression" priority="179" id="{0C3B8BB1-CFB6-4422-A1E7-E7485C993A73}">
            <xm:f>IF(1=INDEX(Réservé!$B$29:$I$30,MATCH("VainqueurH",Réservé!$A$29:$A$30,0),MATCH($B8,Réservé!$B$4:$I$4,0)),TRUE,FALSE)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80" id="{419E5479-7C36-428D-8A3E-8296FDFBFDD7}">
            <xm:f>IF(1=INDEX(Réservé!$B$29:$I$30,MATCH("VainqueurV",Réservé!$A$29:$A$30,0),MATCH($B8,Réservé!$B$4:$I$4,0)),TRUE,FALSE)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A8</xm:sqref>
        </x14:conditionalFormatting>
        <x14:conditionalFormatting xmlns:xm="http://schemas.microsoft.com/office/excel/2006/main">
          <x14:cfRule type="expression" priority="181" id="{6B104FD3-307C-4525-A102-D3C79CFB883F}">
            <xm:f>IF(1=INDEX(Réservé!$B$29:$I$30,MATCH("VainqueurV",Réservé!$A$29:$A$30,0),MATCH($B8,Réservé!$B$4:$I$4,0)),TRUE,FALSE)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82" id="{4A64598B-E0C7-4ED0-AA92-B77E74FBCEB8}">
            <xm:f>IF(1=INDEX(Réservé!$B$29:$I$30,MATCH("VainqueurH",Réservé!$A$29:$A$30,0),MATCH($B8,Réservé!$B$4:$I$4,0)),TRUE,FALSE)</xm:f>
            <x14:dxf>
              <font>
                <b/>
                <i val="0"/>
                <color rgb="FFFF0000"/>
              </font>
            </x14:dxf>
          </x14:cfRule>
          <xm:sqref>E8:F8</xm:sqref>
        </x14:conditionalFormatting>
        <x14:conditionalFormatting xmlns:xm="http://schemas.microsoft.com/office/excel/2006/main">
          <x14:cfRule type="expression" priority="177" id="{F5D6F8D5-B1D0-461D-A408-6DD267B7A4F7}">
            <xm:f>IF(1=INDEX(Réservé!$B$29:$I$30,MATCH("VainqueurV",Réservé!$A$29:$A$30,0),MATCH($B8,Réservé!$B$4:$I$4,0)),TRUE,FALSE)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78" id="{47D98D37-279E-4985-9058-BC735C76AE5E}">
            <xm:f>IF(1=INDEX(Réservé!$B$29:$I$30,MATCH("VainqueurH",Réservé!$A$29:$A$30,0),MATCH($B8,Réservé!$B$4:$I$4,0)),TRUE,FALSE)</xm:f>
            <x14:dxf>
              <font>
                <b/>
                <i val="0"/>
                <color rgb="FFFF0000"/>
              </font>
            </x14:dxf>
          </x14:cfRule>
          <xm:sqref>C8:D8</xm:sqref>
        </x14:conditionalFormatting>
        <x14:conditionalFormatting xmlns:xm="http://schemas.microsoft.com/office/excel/2006/main">
          <x14:cfRule type="expression" priority="171" id="{B5F4FA48-8F6E-46E5-A1BB-199563296F72}">
            <xm:f>IF(1=INDEX(Réservé!$B$29:$I$30,MATCH("VainqueurH",Réservé!$A$29:$A$30,0),MATCH($B7,Réservé!$B$4:$I$4,0)),TRUE,FALSE)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72" id="{749205C8-C5A9-4778-9253-5D1634FECC50}">
            <xm:f>IF(1=INDEX(Réservé!$B$29:$I$30,MATCH("VainqueurV",Réservé!$A$29:$A$30,0),MATCH($B7,Réservé!$B$4:$I$4,0)),TRUE,FALSE)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A7</xm:sqref>
        </x14:conditionalFormatting>
        <x14:conditionalFormatting xmlns:xm="http://schemas.microsoft.com/office/excel/2006/main">
          <x14:cfRule type="expression" priority="173" id="{2231AC55-3136-4B57-9E93-0DC2584E5056}">
            <xm:f>IF(1=INDEX(Réservé!$B$29:$I$30,MATCH("VainqueurV",Réservé!$A$29:$A$30,0),MATCH($B7,Réservé!$B$4:$I$4,0)),TRUE,FALSE)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74" id="{A4D322F2-C24D-446D-B20D-7E23372F8502}">
            <xm:f>IF(1=INDEX(Réservé!$B$29:$I$30,MATCH("VainqueurH",Réservé!$A$29:$A$30,0),MATCH($B7,Réservé!$B$4:$I$4,0)),TRUE,FALSE)</xm:f>
            <x14:dxf>
              <font>
                <b/>
                <i val="0"/>
                <color rgb="FFFF0000"/>
              </font>
            </x14:dxf>
          </x14:cfRule>
          <xm:sqref>E7:F7</xm:sqref>
        </x14:conditionalFormatting>
        <x14:conditionalFormatting xmlns:xm="http://schemas.microsoft.com/office/excel/2006/main">
          <x14:cfRule type="expression" priority="169" id="{5B684566-1FE5-42A2-BCB9-6EEDA0F2BF57}">
            <xm:f>IF(1=INDEX(Réservé!$B$29:$I$30,MATCH("VainqueurV",Réservé!$A$29:$A$30,0),MATCH($B7,Réservé!$B$4:$I$4,0)),TRUE,FALSE)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70" id="{829C5E5D-4EA5-46E1-93CA-A5AD531B1F79}">
            <xm:f>IF(1=INDEX(Réservé!$B$29:$I$30,MATCH("VainqueurH",Réservé!$A$29:$A$30,0),MATCH($B7,Réservé!$B$4:$I$4,0)),TRUE,FALSE)</xm:f>
            <x14:dxf>
              <font>
                <b/>
                <i val="0"/>
                <color rgb="FFFF0000"/>
              </font>
            </x14:dxf>
          </x14:cfRule>
          <xm:sqref>C7:D7</xm:sqref>
        </x14:conditionalFormatting>
        <x14:conditionalFormatting xmlns:xm="http://schemas.microsoft.com/office/excel/2006/main">
          <x14:cfRule type="expression" priority="163" id="{77C4AB75-6C58-4CFF-A2DC-752E2D9A5E8D}">
            <xm:f>IF(1=INDEX(Réservé!$B$29:$I$30,MATCH("VainqueurH",Réservé!$A$29:$A$30,0),MATCH($B6,Réservé!$B$4:$I$4,0)),TRUE,FALSE)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64" id="{97E53164-77C3-4935-A995-F272ADAB5946}">
            <xm:f>IF(1=INDEX(Réservé!$B$29:$I$30,MATCH("VainqueurV",Réservé!$A$29:$A$30,0),MATCH($B6,Réservé!$B$4:$I$4,0)),TRUE,FALSE)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A6</xm:sqref>
        </x14:conditionalFormatting>
        <x14:conditionalFormatting xmlns:xm="http://schemas.microsoft.com/office/excel/2006/main">
          <x14:cfRule type="expression" priority="165" id="{470AF219-4983-4077-A44C-A3188582E3EA}">
            <xm:f>IF(1=INDEX(Réservé!$B$29:$I$30,MATCH("VainqueurV",Réservé!$A$29:$A$30,0),MATCH($B6,Réservé!$B$4:$I$4,0)),TRUE,FALSE)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66" id="{F77007CF-8CDA-4A34-AB60-BC9B0CB7F723}">
            <xm:f>IF(1=INDEX(Réservé!$B$29:$I$30,MATCH("VainqueurH",Réservé!$A$29:$A$30,0),MATCH($B6,Réservé!$B$4:$I$4,0)),TRUE,FALSE)</xm:f>
            <x14:dxf>
              <font>
                <b/>
                <i val="0"/>
                <color rgb="FFFF0000"/>
              </font>
            </x14:dxf>
          </x14:cfRule>
          <xm:sqref>E6:F6</xm:sqref>
        </x14:conditionalFormatting>
        <x14:conditionalFormatting xmlns:xm="http://schemas.microsoft.com/office/excel/2006/main">
          <x14:cfRule type="expression" priority="161" id="{0AFF49CE-0442-41D5-96F5-CF025512F00A}">
            <xm:f>IF(1=INDEX(Réservé!$B$29:$I$30,MATCH("VainqueurV",Réservé!$A$29:$A$30,0),MATCH($B6,Réservé!$B$4:$I$4,0)),TRUE,FALSE)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62" id="{0F84CA98-AE40-4203-8B58-570C53B060B6}">
            <xm:f>IF(1=INDEX(Réservé!$B$29:$I$30,MATCH("VainqueurH",Réservé!$A$29:$A$30,0),MATCH($B6,Réservé!$B$4:$I$4,0)),TRUE,FALSE)</xm:f>
            <x14:dxf>
              <font>
                <b/>
                <i val="0"/>
                <color rgb="FFFF0000"/>
              </font>
            </x14:dxf>
          </x14:cfRule>
          <xm:sqref>C6:D6</xm:sqref>
        </x14:conditionalFormatting>
        <x14:conditionalFormatting xmlns:xm="http://schemas.microsoft.com/office/excel/2006/main">
          <x14:cfRule type="expression" priority="155" id="{BF9F0CF4-2A86-41C0-B132-070E8CD1A9AF}">
            <xm:f>IF(1=INDEX(Réservé!$B$29:$I$30,MATCH("VainqueurH",Réservé!$A$29:$A$30,0),MATCH($B5,Réservé!$B$4:$I$4,0)),TRUE,FALSE)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C4926020-A5EF-4253-A50B-66AC28A3B28A}">
            <xm:f>IF(1=INDEX(Réservé!$B$29:$I$30,MATCH("VainqueurV",Réservé!$A$29:$A$30,0),MATCH($B5,Réservé!$B$4:$I$4,0)),TRUE,FALSE)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A5</xm:sqref>
        </x14:conditionalFormatting>
        <x14:conditionalFormatting xmlns:xm="http://schemas.microsoft.com/office/excel/2006/main">
          <x14:cfRule type="expression" priority="157" id="{5D2EBC9B-8096-45D6-80A0-2251A5CB68D7}">
            <xm:f>IF(1=INDEX(Réservé!$B$29:$I$30,MATCH("VainqueurV",Réservé!$A$29:$A$30,0),MATCH($B5,Réservé!$B$4:$I$4,0)),TRUE,FALSE)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58" id="{C261CB66-B647-47B9-9529-8A2C014A9129}">
            <xm:f>IF(1=INDEX(Réservé!$B$29:$I$30,MATCH("VainqueurH",Réservé!$A$29:$A$30,0),MATCH($B5,Réservé!$B$4:$I$4,0)),TRUE,FALSE)</xm:f>
            <x14:dxf>
              <font>
                <b/>
                <i val="0"/>
                <color rgb="FFFF0000"/>
              </font>
            </x14:dxf>
          </x14:cfRule>
          <xm:sqref>E5:F5</xm:sqref>
        </x14:conditionalFormatting>
        <x14:conditionalFormatting xmlns:xm="http://schemas.microsoft.com/office/excel/2006/main">
          <x14:cfRule type="expression" priority="153" id="{45C01EE5-7CD6-425A-AF2E-C62E48F50418}">
            <xm:f>IF(1=INDEX(Réservé!$B$29:$I$30,MATCH("VainqueurV",Réservé!$A$29:$A$30,0),MATCH($B5,Réservé!$B$4:$I$4,0)),TRUE,FALSE)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54" id="{7BEC66B2-8D54-4D93-8F33-B18E6E6BF4A1}">
            <xm:f>IF(1=INDEX(Réservé!$B$29:$I$30,MATCH("VainqueurH",Réservé!$A$29:$A$30,0),MATCH($B5,Réservé!$B$4:$I$4,0)),TRUE,FALSE)</xm:f>
            <x14:dxf>
              <font>
                <b/>
                <i val="0"/>
                <color rgb="FFFF0000"/>
              </font>
            </x14:dxf>
          </x14:cfRule>
          <xm:sqref>C5:D5</xm:sqref>
        </x14:conditionalFormatting>
        <x14:conditionalFormatting xmlns:xm="http://schemas.microsoft.com/office/excel/2006/main">
          <x14:cfRule type="expression" priority="147" id="{207F39F1-C7EB-42AC-AEB7-41F7ACB9B4BB}">
            <xm:f>IF(1=INDEX(Réservé!$B$29:$I$30,MATCH("VainqueurH",Réservé!$A$29:$A$30,0),MATCH($B4,Réservé!$B$4:$I$4,0)),TRUE,FALSE)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48" id="{4C37593A-6FE7-40ED-9AC0-2C2BC01ED921}">
            <xm:f>IF(1=INDEX(Réservé!$B$29:$I$30,MATCH("VainqueurV",Réservé!$A$29:$A$30,0),MATCH($B4,Réservé!$B$4:$I$4,0)),TRUE,FALSE)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A4</xm:sqref>
        </x14:conditionalFormatting>
        <x14:conditionalFormatting xmlns:xm="http://schemas.microsoft.com/office/excel/2006/main">
          <x14:cfRule type="expression" priority="149" id="{B84A40A0-D0C3-47F3-97C0-473254E5428D}">
            <xm:f>IF(1=INDEX(Réservé!$B$29:$I$30,MATCH("VainqueurV",Réservé!$A$29:$A$30,0),MATCH($B4,Réservé!$B$4:$I$4,0)),TRUE,FALSE)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50" id="{33BC64B2-D961-4F35-BEF9-DE594690B7AC}">
            <xm:f>IF(1=INDEX(Réservé!$B$29:$I$30,MATCH("VainqueurH",Réservé!$A$29:$A$30,0),MATCH($B4,Réservé!$B$4:$I$4,0)),TRUE,FALSE)</xm:f>
            <x14:dxf>
              <font>
                <b/>
                <i val="0"/>
                <color rgb="FFFF0000"/>
              </font>
            </x14:dxf>
          </x14:cfRule>
          <xm:sqref>E4:F4</xm:sqref>
        </x14:conditionalFormatting>
        <x14:conditionalFormatting xmlns:xm="http://schemas.microsoft.com/office/excel/2006/main">
          <x14:cfRule type="expression" priority="145" id="{0CE68617-C17F-42E4-A4A8-18BBA950B029}">
            <xm:f>IF(1=INDEX(Réservé!$B$29:$I$30,MATCH("VainqueurV",Réservé!$A$29:$A$30,0),MATCH($B4,Réservé!$B$4:$I$4,0)),TRUE,FALSE)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46" id="{1B1708FF-833A-4ADB-BCB7-31170A0D7B99}">
            <xm:f>IF(1=INDEX(Réservé!$B$29:$I$30,MATCH("VainqueurH",Réservé!$A$29:$A$30,0),MATCH($B4,Réservé!$B$4:$I$4,0)),TRUE,FALSE)</xm:f>
            <x14:dxf>
              <font>
                <b/>
                <i val="0"/>
                <color rgb="FFFF0000"/>
              </font>
            </x14:dxf>
          </x14:cfRule>
          <xm:sqref>C4:D4</xm:sqref>
        </x14:conditionalFormatting>
        <x14:conditionalFormatting xmlns:xm="http://schemas.microsoft.com/office/excel/2006/main">
          <x14:cfRule type="expression" priority="139" id="{0A2E8CB5-278F-414E-8F3E-3917B87EA3A6}">
            <xm:f>IF(1=INDEX(Réservé!$B$29:$I$30,MATCH("VainqueurH",Réservé!$A$29:$A$30,0),MATCH($B3,Réservé!$B$4:$I$4,0)),TRUE,FALSE)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40" id="{97145E6C-4126-43E6-B1CB-293F9CDB80C1}">
            <xm:f>IF(1=INDEX(Réservé!$B$29:$I$30,MATCH("VainqueurV",Réservé!$A$29:$A$30,0),MATCH($B3,Réservé!$B$4:$I$4,0)),TRUE,FALSE)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A3</xm:sqref>
        </x14:conditionalFormatting>
        <x14:conditionalFormatting xmlns:xm="http://schemas.microsoft.com/office/excel/2006/main">
          <x14:cfRule type="expression" priority="141" id="{27608859-5132-4B05-9553-A57FA1989E60}">
            <xm:f>IF(1=INDEX(Réservé!$B$29:$I$30,MATCH("VainqueurV",Réservé!$A$29:$A$30,0),MATCH($B3,Réservé!$B$4:$I$4,0)),TRUE,FALSE)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42" id="{C7FECC17-9528-4531-A57D-A87BDED48BDA}">
            <xm:f>IF(1=INDEX(Réservé!$B$29:$I$30,MATCH("VainqueurH",Réservé!$A$29:$A$30,0),MATCH($B3,Réservé!$B$4:$I$4,0)),TRUE,FALSE)</xm:f>
            <x14:dxf>
              <font>
                <b/>
                <i val="0"/>
                <color rgb="FFFF0000"/>
              </font>
            </x14:dxf>
          </x14:cfRule>
          <xm:sqref>E3:F3</xm:sqref>
        </x14:conditionalFormatting>
        <x14:conditionalFormatting xmlns:xm="http://schemas.microsoft.com/office/excel/2006/main">
          <x14:cfRule type="expression" priority="137" id="{147B902B-B81E-4A3D-AFB5-E472A77D32A6}">
            <xm:f>IF(1=INDEX(Réservé!$B$29:$I$30,MATCH("VainqueurV",Réservé!$A$29:$A$30,0),MATCH($B3,Réservé!$B$4:$I$4,0)),TRUE,FALSE)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38" id="{A8D17439-004A-44F8-B1E2-A90E4FCD2F7E}">
            <xm:f>IF(1=INDEX(Réservé!$B$29:$I$30,MATCH("VainqueurH",Réservé!$A$29:$A$30,0),MATCH($B3,Réservé!$B$4:$I$4,0)),TRUE,FALSE)</xm:f>
            <x14:dxf>
              <font>
                <b/>
                <i val="0"/>
                <color rgb="FFFF0000"/>
              </font>
            </x14:dxf>
          </x14:cfRule>
          <xm:sqref>C3:D3</xm:sqref>
        </x14:conditionalFormatting>
        <x14:conditionalFormatting xmlns:xm="http://schemas.microsoft.com/office/excel/2006/main">
          <x14:cfRule type="expression" priority="131" id="{06811614-5FBA-4F67-ABDF-71342D72F443}">
            <xm:f>IF(1=INDEX(Réservé!$B$29:$I$30,MATCH("VainqueurH",Réservé!$A$29:$A$30,0),MATCH($B2,Réservé!$B$4:$I$4,0)),TRUE,FALSE)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32" id="{7AC95567-0671-4CEE-84B7-7FD5AB9BE979}">
            <xm:f>IF(1=INDEX(Réservé!$B$29:$I$30,MATCH("VainqueurV",Réservé!$A$29:$A$30,0),MATCH($B2,Réservé!$B$4:$I$4,0)),TRUE,FALSE)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A2</xm:sqref>
        </x14:conditionalFormatting>
        <x14:conditionalFormatting xmlns:xm="http://schemas.microsoft.com/office/excel/2006/main">
          <x14:cfRule type="expression" priority="133" id="{34D5C784-619E-4F74-B6BF-64481A336557}">
            <xm:f>IF(1=INDEX(Réservé!$B$29:$I$30,MATCH("VainqueurV",Réservé!$A$29:$A$30,0),MATCH($B2,Réservé!$B$4:$I$4,0)),TRUE,FALSE)</xm:f>
            <x14:dxf>
              <font>
                <b/>
                <i val="0"/>
                <color rgb="FF0070C0"/>
              </font>
            </x14:dxf>
          </x14:cfRule>
          <x14:cfRule type="expression" priority="134" id="{D7CB3B99-1768-481B-AAAC-C65A6FB60787}">
            <xm:f>IF(1=INDEX(Réservé!$B$29:$I$30,MATCH("VainqueurH",Réservé!$A$29:$A$30,0),MATCH($B2,Réservé!$B$4:$I$4,0)),TRUE,FALSE)</xm:f>
            <x14:dxf>
              <font>
                <b/>
                <i val="0"/>
                <color rgb="FFFF0000"/>
              </font>
            </x14:dxf>
          </x14:cfRule>
          <xm:sqref>E2:F2</xm:sqref>
        </x14:conditionalFormatting>
        <x14:conditionalFormatting xmlns:xm="http://schemas.microsoft.com/office/excel/2006/main">
          <x14:cfRule type="expression" priority="15" id="{6443910F-5F64-4D9E-9C64-7A062594F31E}">
            <xm:f>IF(1=INDEX(Réservé!$B$29:$I$30,MATCH("VainqueurH",Réservé!$A$29:$A$30,0),MATCH($B2,Réservé!$B$4:$I$4,0)),TRUE,FALSE)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6" id="{55696B84-CFAA-4077-915A-F522EB5E8717}">
            <xm:f>IF(1=INDEX(Réservé!$B$29:$I$30,MATCH("VainqueurV",Réservé!$A$29:$A$30,0),MATCH($B2,Réservé!$B$4:$I$4,0)),TRUE,FALSE)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13" id="{A3C4BCE2-0A89-4D78-8B5D-822C3B248195}">
            <xm:f>IF(1=INDEX(Réservé!$B$29:$I$30,MATCH("VainqueurH",Réservé!$A$29:$A$30,0),MATCH($B3,Réservé!$B$4:$I$4,0)),TRUE,FALSE)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4" id="{6F963B0C-08DE-4506-8ED4-54F5350C9A04}">
            <xm:f>IF(1=INDEX(Réservé!$B$29:$I$30,MATCH("VainqueurV",Réservé!$A$29:$A$30,0),MATCH($B3,Réservé!$B$4:$I$4,0)),TRUE,FALSE)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1" id="{B396533C-6D88-4023-8B96-1D503503D55B}">
            <xm:f>IF(1=INDEX(Réservé!$B$29:$I$30,MATCH("VainqueurH",Réservé!$A$29:$A$30,0),MATCH($B4,Réservé!$B$4:$I$4,0)),TRUE,FALSE)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2" id="{F5CC4889-BE85-4F2E-8555-29F7D5AF4CA7}">
            <xm:f>IF(1=INDEX(Réservé!$B$29:$I$30,MATCH("VainqueurV",Réservé!$A$29:$A$30,0),MATCH($B4,Réservé!$B$4:$I$4,0)),TRUE,FALSE)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9" id="{0F1FFD4D-8DDE-4E00-8F76-B41F3A4FEEA9}">
            <xm:f>IF(1=INDEX(Réservé!$B$29:$I$30,MATCH("VainqueurH",Réservé!$A$29:$A$30,0),MATCH($B5,Réservé!$B$4:$I$4,0)),TRUE,FALSE)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10" id="{A8E1BE54-EB8D-4C84-AF75-EE34DF59F92A}">
            <xm:f>IF(1=INDEX(Réservé!$B$29:$I$30,MATCH("VainqueurV",Réservé!$A$29:$A$30,0),MATCH($B5,Réservé!$B$4:$I$4,0)),TRUE,FALSE)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7" id="{16351A6B-EF32-4D0A-8EC2-8B063BF8D4C7}">
            <xm:f>IF(1=INDEX(Réservé!$B$29:$I$30,MATCH("VainqueurH",Réservé!$A$29:$A$30,0),MATCH($B6,Réservé!$B$4:$I$4,0)),TRUE,FALSE)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8" id="{7765D2CC-E9A4-4DE2-BF6F-FB809F695A56}">
            <xm:f>IF(1=INDEX(Réservé!$B$29:$I$30,MATCH("VainqueurV",Réservé!$A$29:$A$30,0),MATCH($B6,Réservé!$B$4:$I$4,0)),TRUE,FALSE)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expression" priority="5" id="{2E2CF028-929D-4958-BB30-D690617E49F3}">
            <xm:f>IF(1=INDEX(Réservé!$B$29:$I$30,MATCH("VainqueurH",Réservé!$A$29:$A$30,0),MATCH($B7,Réservé!$B$4:$I$4,0)),TRUE,FALSE)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6" id="{814AF5F0-44F6-4DB9-8BCD-7DB4F83DB48D}">
            <xm:f>IF(1=INDEX(Réservé!$B$29:$I$30,MATCH("VainqueurV",Réservé!$A$29:$A$30,0),MATCH($B7,Réservé!$B$4:$I$4,0)),TRUE,FALSE)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3" id="{2B59FCA0-5407-4069-BC24-A9DDD9FAD469}">
            <xm:f>IF(1=INDEX(Réservé!$B$29:$I$30,MATCH("VainqueurH",Réservé!$A$29:$A$30,0),MATCH($B8,Réservé!$B$4:$I$4,0)),TRUE,FALSE)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4" id="{0760F558-1A95-4365-82DA-5B6F6A8EBA00}">
            <xm:f>IF(1=INDEX(Réservé!$B$29:$I$30,MATCH("VainqueurV",Réservé!$A$29:$A$30,0),MATCH($B8,Réservé!$B$4:$I$4,0)),TRUE,FALSE)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B8</xm:sqref>
        </x14:conditionalFormatting>
        <x14:conditionalFormatting xmlns:xm="http://schemas.microsoft.com/office/excel/2006/main">
          <x14:cfRule type="expression" priority="1" id="{852AAEB1-BBC2-4838-8667-8F5342F72B24}">
            <xm:f>IF(1=INDEX(Réservé!$B$29:$I$30,MATCH("VainqueurH",Réservé!$A$29:$A$30,0),MATCH($B9,Réservé!$B$4:$I$4,0)),TRUE,FALSE)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expression" priority="2" id="{4F918F11-111A-4076-B3AB-8E5180A5A982}">
            <xm:f>IF(1=INDEX(Réservé!$B$29:$I$30,MATCH("VainqueurV",Réservé!$A$29:$A$30,0),MATCH($B9,Réservé!$B$4:$I$4,0)),TRUE,FALSE)</xm:f>
            <x14:dxf>
              <font>
                <b/>
                <i val="0"/>
              </font>
              <fill>
                <patternFill>
                  <bgColor rgb="FF0070C0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M13"/>
  <sheetViews>
    <sheetView zoomScale="125" zoomScaleNormal="125" workbookViewId="0">
      <selection activeCell="F13" sqref="F13"/>
    </sheetView>
  </sheetViews>
  <sheetFormatPr baseColWidth="10" defaultRowHeight="15"/>
  <cols>
    <col min="1" max="1" width="0.5703125" style="89" customWidth="1"/>
    <col min="2" max="2" width="13.28515625" style="89" customWidth="1"/>
    <col min="3" max="4" width="18.7109375" style="89" customWidth="1"/>
    <col min="5" max="5" width="2.85546875" style="89" customWidth="1"/>
    <col min="6" max="6" width="45.7109375" style="89" customWidth="1"/>
    <col min="7" max="7" width="75.7109375" style="89" customWidth="1"/>
    <col min="8" max="8" width="25.7109375" style="89" customWidth="1"/>
    <col min="9" max="10" width="2.85546875" style="89" customWidth="1"/>
    <col min="11" max="16384" width="11.42578125" style="89"/>
  </cols>
  <sheetData>
    <row r="1" spans="1:13" ht="61.5">
      <c r="A1" s="1" t="s">
        <v>0</v>
      </c>
      <c r="B1" s="167">
        <v>2</v>
      </c>
      <c r="C1" s="168"/>
      <c r="D1" s="168"/>
      <c r="E1" s="87"/>
      <c r="F1" s="87"/>
      <c r="G1" s="88" t="e">
        <f ca="1">IF(Réservé!L9="","",CONCATENATE(Réservé!L9," - ",Réservé!L17))</f>
        <v>#REF!</v>
      </c>
    </row>
    <row r="2" spans="1:13" ht="46.5">
      <c r="A2" s="90"/>
      <c r="B2" s="86" t="e">
        <f ca="1">Réservé!L16</f>
        <v>#REF!</v>
      </c>
      <c r="C2" s="90"/>
      <c r="D2" s="87"/>
      <c r="E2" s="87"/>
      <c r="F2" s="87"/>
      <c r="G2" s="88" t="e">
        <f ca="1">IF(Réservé!L10="","",CONCATENATE(Réservé!L10," - ",Réservé!L18))</f>
        <v>#REF!</v>
      </c>
      <c r="H2" s="43" t="e">
        <f ca="1">CONCATENATE("Match N°",Réservé!L8)</f>
        <v>#REF!</v>
      </c>
      <c r="M2" s="91"/>
    </row>
    <row r="3" spans="1:13" ht="33.75">
      <c r="A3" s="90"/>
      <c r="B3" s="122"/>
      <c r="C3" s="92" t="e">
        <f ca="1">INDIRECT(Réservé!N5&amp;"C13")</f>
        <v>#REF!</v>
      </c>
      <c r="D3" s="93" t="e">
        <f ca="1">INDIRECT(Réservé!N5&amp;"I13")</f>
        <v>#REF!</v>
      </c>
      <c r="G3" s="87"/>
      <c r="H3" s="94" t="s">
        <v>20</v>
      </c>
    </row>
    <row r="4" spans="1:13" ht="60" customHeight="1">
      <c r="A4" s="87"/>
      <c r="B4" s="95" t="s">
        <v>1</v>
      </c>
      <c r="C4" s="106" t="e">
        <f ca="1">Réservé!L21</f>
        <v>#REF!</v>
      </c>
      <c r="D4" s="106" t="e">
        <f ca="1">Réservé!L22</f>
        <v>#REF!</v>
      </c>
      <c r="G4" s="87"/>
      <c r="H4" s="96" t="e">
        <f ca="1">Réservé!L7</f>
        <v>#REF!</v>
      </c>
      <c r="L4" s="97"/>
    </row>
    <row r="5" spans="1:13" ht="61.5">
      <c r="A5" s="98"/>
      <c r="B5" s="95" t="s">
        <v>2</v>
      </c>
      <c r="C5" s="106" t="e">
        <f ca="1">Réservé!L23</f>
        <v>#REF!</v>
      </c>
      <c r="D5" s="106" t="e">
        <f ca="1">Réservé!L24</f>
        <v>#REF!</v>
      </c>
      <c r="E5" s="98"/>
      <c r="F5" s="99" t="e">
        <f ca="1">IF(Réservé!L11="","",CONCATENATE(Réservé!L11," - ",Réservé!L19))</f>
        <v>#REF!</v>
      </c>
      <c r="G5" s="98"/>
      <c r="H5" s="100" t="s">
        <v>9</v>
      </c>
    </row>
    <row r="6" spans="1:13" ht="61.5">
      <c r="A6" s="98"/>
      <c r="B6" s="95" t="s">
        <v>3</v>
      </c>
      <c r="C6" s="106" t="e">
        <f ca="1">Réservé!L25</f>
        <v>#REF!</v>
      </c>
      <c r="D6" s="106" t="e">
        <f ca="1">Réservé!L26</f>
        <v>#REF!</v>
      </c>
      <c r="E6" s="98"/>
      <c r="F6" s="99" t="e">
        <f ca="1">IF(Réservé!L12="","",CONCATENATE(Réservé!L12," - ",Réservé!L20))</f>
        <v>#REF!</v>
      </c>
      <c r="G6" s="98"/>
      <c r="H6" s="101" t="e">
        <f ca="1">Réservé!L15</f>
        <v>#REF!</v>
      </c>
    </row>
    <row r="7" spans="1:13">
      <c r="A7" s="87"/>
      <c r="B7" s="87"/>
      <c r="C7" s="87"/>
      <c r="G7" s="87"/>
      <c r="H7" s="87"/>
    </row>
    <row r="8" spans="1:13" ht="33.75">
      <c r="A8" s="87"/>
      <c r="B8" s="115" t="s">
        <v>84</v>
      </c>
      <c r="C8" s="165" t="s">
        <v>87</v>
      </c>
      <c r="D8" s="166"/>
      <c r="E8" s="116"/>
      <c r="F8" s="116" t="e">
        <f ca="1">INDIRECT(Réservé!N5&amp;"C13")</f>
        <v>#REF!</v>
      </c>
      <c r="G8" s="115" t="e">
        <f ca="1">INDIRECT(Réservé!N5&amp;"I13")</f>
        <v>#REF!</v>
      </c>
      <c r="H8" s="115" t="s">
        <v>9</v>
      </c>
    </row>
    <row r="9" spans="1:13" ht="65.099999999999994" customHeight="1">
      <c r="A9" s="87"/>
      <c r="B9" s="117" t="str">
        <f t="array" aca="1" ref="B9" ca="1">IF(COUNTIFS(Réservé!$B$6:$I$6,$B$1,Réservé!$B$14:$I$14,"&lt;&gt;0")-ROW(B9)+ROW(B$9)&gt;0,LARGE(Réservé!$B$8:$I$8*IF((Réservé!$B$6:$I$6=$B$1),1,0)*IF((Réservé!$B$14:$I$14&lt;&gt;0),1,0),COUNTIFS(Réservé!$B$6:$I$6,$B$1,Réservé!$B$14:$I$14,"&lt;&gt;0")-ROW(B9)+ROW(B$9)),"")</f>
        <v/>
      </c>
      <c r="C9" s="113" t="str">
        <f ca="1">IF(ISNA(MATCH(B9,Réservé!$B$8:$I$8,0)),"",INDEX(Réservé!$B$16:$I$16,,MATCH(B9,Réservé!$B$8:$I$8,0)))</f>
        <v/>
      </c>
      <c r="D9" s="113"/>
      <c r="E9" s="114"/>
      <c r="F9" s="118" t="str">
        <f ca="1">IF(ISNA(MATCH($B9,Réservé!$B$8:$I$8,0)),"",INDEX(Réservé!$B$41:$I$41,,MATCH($B9,Réservé!$B$8:$I$8,0)))</f>
        <v/>
      </c>
      <c r="G9" s="118" t="str">
        <f ca="1">IF(ISNA(MATCH($B9,Réservé!$B$8:$I$8,0)),"",INDEX(Réservé!$B$42:$I$42,,MATCH($B9,Réservé!$B$8:$I$8,0)))</f>
        <v/>
      </c>
      <c r="H9" s="119" t="str">
        <f ca="1">IF(ISNA(MATCH($B9,Réservé!$B$8:$I$8,0)),"",INDEX(Réservé!$B$15:$I$15,,MATCH($B9,Réservé!$B$8:$I$8,0)))</f>
        <v/>
      </c>
    </row>
    <row r="10" spans="1:13" ht="65.099999999999994" customHeight="1">
      <c r="A10" s="87"/>
      <c r="B10" s="117" t="str">
        <f t="array" aca="1" ref="B10" ca="1">IF(COUNTIFS(Réservé!$B$6:$I$6,$B$1,Réservé!$B$14:$I$14,"&lt;&gt;0")-ROW(B10)+ROW(B$9)&gt;0,LARGE(Réservé!$B$8:$I$8*IF((Réservé!$B$6:$I$6=$B$1),1,0)*IF((Réservé!$B$14:$I$14&lt;&gt;0),1,0),COUNTIFS(Réservé!$B$6:$I$6,$B$1,Réservé!$B$14:$I$14,"&lt;&gt;0")-ROW(B10)+ROW(B$9)),"")</f>
        <v/>
      </c>
      <c r="C10" s="113" t="str">
        <f ca="1">IF(ISNA(MATCH(B10,Réservé!$B$8:$I$8,0)),"",INDEX(Réservé!$B$16:$I$16,,MATCH(B10,Réservé!$B$8:$I$8,0)))</f>
        <v/>
      </c>
      <c r="D10" s="113"/>
      <c r="E10" s="114"/>
      <c r="F10" s="118" t="str">
        <f ca="1">IF(ISNA(MATCH($B10,Réservé!$B$8:$I$8,0)),"",INDEX(Réservé!$B$41:$I$41,,MATCH($B10,Réservé!$B$8:$I$8,0)))</f>
        <v/>
      </c>
      <c r="G10" s="118" t="str">
        <f ca="1">IF(ISNA(MATCH($B10,Réservé!$B$8:$I$8,0)),"",INDEX(Réservé!$B$42:$I$42,,MATCH($B10,Réservé!$B$8:$I$8,0)))</f>
        <v/>
      </c>
      <c r="H10" s="119" t="str">
        <f ca="1">IF(ISNA(MATCH($B10,Réservé!$B$8:$I$8,0)),"",INDEX(Réservé!$B$15:$I$15,,MATCH($B10,Réservé!$B$8:$I$8,0)))</f>
        <v/>
      </c>
    </row>
    <row r="11" spans="1:13" ht="65.099999999999994" customHeight="1">
      <c r="B11" s="117" t="str">
        <f t="array" aca="1" ref="B11" ca="1">IF(COUNTIFS(Réservé!$B$6:$I$6,$B$1,Réservé!$B$14:$I$14,"&lt;&gt;0")-ROW(B11)+ROW(B$9)&gt;0,LARGE(Réservé!$B$8:$I$8*IF((Réservé!$B$6:$I$6=$B$1),1,0)*IF((Réservé!$B$14:$I$14&lt;&gt;0),1,0),COUNTIFS(Réservé!$B$6:$I$6,$B$1,Réservé!$B$14:$I$14,"&lt;&gt;0")-ROW(B11)+ROW(B$9)),"")</f>
        <v/>
      </c>
      <c r="C11" s="113" t="str">
        <f ca="1">IF(ISNA(MATCH(B11,Réservé!$B$8:$I$8,0)),"",INDEX(Réservé!$B$16:$I$16,,MATCH(B11,Réservé!$B$8:$I$8,0)))</f>
        <v/>
      </c>
      <c r="D11" s="114"/>
      <c r="E11" s="114"/>
      <c r="F11" s="118" t="str">
        <f ca="1">IF(ISNA(MATCH($B11,Réservé!$B$8:$I$8,0)),"",INDEX(Réservé!$B$41:$I$41,,MATCH($B11,Réservé!$B$8:$I$8,0)))</f>
        <v/>
      </c>
      <c r="G11" s="118" t="str">
        <f ca="1">IF(ISNA(MATCH($B11,Réservé!$B$8:$I$8,0)),"",INDEX(Réservé!$B$42:$I$42,,MATCH($B11,Réservé!$B$8:$I$8,0)))</f>
        <v/>
      </c>
      <c r="H11" s="119" t="str">
        <f ca="1">IF(ISNA(MATCH($B11,Réservé!$B$8:$I$8,0)),"",INDEX(Réservé!$B$15:$I$15,,MATCH($B11,Réservé!$B$8:$I$8,0)))</f>
        <v/>
      </c>
    </row>
    <row r="12" spans="1:13" ht="65.099999999999994" customHeight="1">
      <c r="B12" s="117" t="str">
        <f t="array" aca="1" ref="B12" ca="1">IF(COUNTIFS(Réservé!$B$6:$I$6,$B$1,Réservé!$B$14:$I$14,"&lt;&gt;0")-ROW(B12)+ROW(B$9)&gt;0,LARGE(Réservé!$B$8:$I$8*IF((Réservé!$B$6:$I$6=$B$1),1,0)*IF((Réservé!$B$14:$I$14&lt;&gt;0),1,0),COUNTIFS(Réservé!$B$6:$I$6,$B$1,Réservé!$B$14:$I$14,"&lt;&gt;0")-ROW(B12)+ROW(B$9)),"")</f>
        <v/>
      </c>
      <c r="C12" s="113" t="str">
        <f ca="1">IF(ISNA(MATCH(B12,Réservé!$B$8:$I$8,0)),"",INDEX(Réservé!$B$16:$I$16,,MATCH(B12,Réservé!$B$8:$I$8,0)))</f>
        <v/>
      </c>
      <c r="F12" s="118" t="str">
        <f ca="1">IF(ISNA(MATCH($B12,Réservé!$B$8:$I$8,0)),"",INDEX(Réservé!$B$41:$I$41,,MATCH($B12,Réservé!$B$8:$I$8,0)))</f>
        <v/>
      </c>
      <c r="G12" s="118" t="str">
        <f ca="1">IF(ISNA(MATCH($B12,Réservé!$B$8:$I$8,0)),"",INDEX(Réservé!$B$42:$I$42,,MATCH($B12,Réservé!$B$8:$I$8,0)))</f>
        <v/>
      </c>
      <c r="H12" s="119" t="str">
        <f ca="1">IF(ISNA(MATCH($B12,Réservé!$B$8:$I$8,0)),"",INDEX(Réservé!$B$15:$I$15,,MATCH($B12,Réservé!$B$8:$I$8,0)))</f>
        <v/>
      </c>
    </row>
    <row r="13" spans="1:13" ht="33.75">
      <c r="B13" s="117" t="str">
        <f t="array" aca="1" ref="B13" ca="1">IF(COUNTIFS(Réservé!$B$6:$I$6,$B$1,Réservé!$B$14:$I$14,"&lt;&gt;0")-ROW(B13)+ROW(B$9)&gt;0,LARGE(Réservé!$B$8:$I$8*IF((Réservé!$B$6:$I$6=$B$1),1,0)*IF((Réservé!$B$14:$I$14&lt;&gt;0),1,0),COUNTIFS(Réservé!$B$6:$I$6,$B$1,Réservé!$B$14:$I$14,"&lt;&gt;0")-ROW(B13)+ROW(B$9)),"")</f>
        <v/>
      </c>
      <c r="C13" s="113" t="str">
        <f ca="1">IF(ISNA(MATCH(B13,Réservé!$B$8:$I$8,0)),"",INDEX(Réservé!$B$16:$I$16,,MATCH(B13,Réservé!$B$8:$I$8,0)))</f>
        <v/>
      </c>
      <c r="F13" s="118" t="str">
        <f ca="1">IF(ISNA(MATCH($B13,Réservé!$B$8:$I$8,0)),"",INDEX(Réservé!$B$41:$I$41,,MATCH($B13,Réservé!$B$8:$I$8,0)))</f>
        <v/>
      </c>
      <c r="G13" s="118" t="str">
        <f ca="1">IF(ISNA(MATCH($B13,Réservé!$B$8:$I$8,0)),"",INDEX(Réservé!$B$42:$I$42,,MATCH($B13,Réservé!$B$8:$I$8,0)))</f>
        <v/>
      </c>
      <c r="H13" s="119" t="str">
        <f ca="1">IF(ISNA(MATCH($B13,Réservé!$B$8:$I$8,0)),"",INDEX(Réservé!$B$15:$I$15,,MATCH($B13,Réservé!$B$8:$I$8,0)))</f>
        <v/>
      </c>
    </row>
  </sheetData>
  <sheetProtection selectLockedCells="1" selectUnlockedCells="1"/>
  <mergeCells count="2">
    <mergeCell ref="C8:D8"/>
    <mergeCell ref="B1:D1"/>
  </mergeCells>
  <pageMargins left="0.70866141732283472" right="0.11811023622047245" top="0" bottom="0" header="0" footer="0.39370078740157483"/>
  <pageSetup paperSize="9" scale="57" orientation="landscape" r:id="rId1"/>
  <headerFooter>
    <oddFooter>Page &amp;P de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1" id="{0A624D92-A6EB-4284-BCBD-EF5F75E31083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102" id="{55E8FC6E-EA0B-41DC-8808-5C2CB9938B0D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m:sqref>D9:E12</xm:sqref>
        </x14:conditionalFormatting>
        <x14:conditionalFormatting xmlns:xm="http://schemas.microsoft.com/office/excel/2006/main">
          <x14:cfRule type="expression" priority="3" id="{B2FE623F-7B59-47AF-9497-A0BAAC29B383}">
            <xm:f>IF(ISNA(MATCH($B12,Réservé!$8:$8,0)),"",INDEX(Réservé!$29:$29,,MATCH($B12,Réservé!$8:$8,0))=1)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4" id="{B5F143E4-1EC2-4926-8EE7-398CBFD5A67B}">
            <xm:f>IF(ISNA(MATCH($B12,Réservé!$8:$8,0)),"",INDEX(Réservé!$30:$30,,MATCH($B12,Réservé!$8:$8,0))=1)</xm:f>
            <x14:dxf>
              <fill>
                <patternFill>
                  <bgColor rgb="FF0070C0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95" id="{45285AD6-253D-460C-B817-D1950B40FA46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96" id="{B52C53FD-E943-4EA6-8C74-7ADAA76348B4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m:sqref>D13:G13</xm:sqref>
        </x14:conditionalFormatting>
        <x14:conditionalFormatting xmlns:xm="http://schemas.microsoft.com/office/excel/2006/main">
          <x14:cfRule type="expression" priority="1" id="{499C8E95-9E04-4783-BE3C-074BD3419199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F2396F0D-1BF1-48C1-BFEF-379852917F7B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87" id="{57CF8333-C009-4512-A3A4-3DC3F15AD5F3}">
            <xm:f>IF(ISNA(MATCH($B12,Réservé!$8:$8,0)),"",INDEX(Réservé!$29:$29,,MATCH($B12,Réservé!$8:$8,0))=1)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88" id="{E974C905-329B-4DEC-B2B5-5ECDD0CE79FC}">
            <xm:f>IF(ISNA(MATCH($B12,Réservé!$8:$8,0)),"",INDEX(Réservé!$30:$30,,MATCH($B12,Réservé!$8:$8,0))=1)</xm:f>
            <x14:dxf>
              <fill>
                <patternFill>
                  <bgColor rgb="FF0070C0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43" id="{7F5AF3AD-7265-472C-9E25-F0D6C9638852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44" id="{D4C7CB92-6E57-41E0-8523-46D9579F221C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expression" priority="45" id="{699452E7-2DF0-4686-AF24-4611E5DB7F4B}">
            <xm:f>IF(ISNA(MATCH($B10,Réservé!$8:$8,0)),"",INDEX(Réservé!$29:$29,,MATCH($B10,Réservé!$8:$8,0))=1)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46" id="{2ECCFA95-FE03-4C7E-ACCC-81AA3A4772DB}">
            <xm:f>IF(ISNA(MATCH($B10,Réservé!$8:$8,0)),"",INDEX(Réservé!$30:$30,,MATCH($B10,Réservé!$8:$8,0))=1)</xm:f>
            <x14:dxf>
              <fill>
                <patternFill>
                  <bgColor rgb="FF0070C0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expression" priority="79" id="{21F69FDF-DA00-4627-8625-61F74EDCFEA1}">
            <xm:f>IF(ISNA(MATCH($B12,Réservé!$8:$8,0)),"",INDEX(Réservé!$29:$29,,MATCH($B12,Réservé!$8:$8,0))=1)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80" id="{7B90A871-530E-42EF-923C-CE886E2B609D}">
            <xm:f>IF(ISNA(MATCH($B12,Réservé!$8:$8,0)),"",INDEX(Réservé!$30:$30,,MATCH($B12,Réservé!$8:$8,0))=1)</xm:f>
            <x14:dxf>
              <fill>
                <patternFill>
                  <bgColor rgb="FF0070C0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65" id="{2779B4A2-6266-4810-8270-32A5FED76FFC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66" id="{13026B1B-23A7-4F30-BDC9-24DA1F2662B8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m:sqref>C13</xm:sqref>
        </x14:conditionalFormatting>
        <x14:conditionalFormatting xmlns:xm="http://schemas.microsoft.com/office/excel/2006/main">
          <x14:cfRule type="expression" priority="63" id="{7BC78502-2DE6-411B-81BA-767D93DBBB9F}">
            <xm:f>IF(ISNA(MATCH($B11,Réservé!$8:$8,0)),"",INDEX(Réservé!$29:$29,,MATCH($B11,Réservé!$8:$8,0))=1)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64" id="{CC7EEEB2-942F-43D7-94B1-905BA1FE74FE}">
            <xm:f>IF(ISNA(MATCH($B11,Réservé!$8:$8,0)),"",INDEX(Réservé!$30:$30,,MATCH($B11,Réservé!$8:$8,0))=1)</xm:f>
            <x14:dxf>
              <fill>
                <patternFill>
                  <bgColor rgb="FF0070C0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61" id="{5AE6417D-7C2C-4DD7-B60D-9536348CA9DB}">
            <xm:f>IF(ISNA(MATCH($B10,Réservé!$8:$8,0)),"",INDEX(Réservé!$29:$29,,MATCH($B10,Réservé!$8:$8,0))=1)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62" id="{DEA3C15A-3146-4521-B4A8-4F045FED5048}">
            <xm:f>IF(ISNA(MATCH($B10,Réservé!$8:$8,0)),"",INDEX(Réservé!$30:$30,,MATCH($B10,Réservé!$8:$8,0))=1)</xm:f>
            <x14:dxf>
              <fill>
                <patternFill>
                  <bgColor rgb="FF0070C0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9" id="{E1B02CDF-D9D3-4844-A748-64856C4E7848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60" id="{03FF147A-8DE6-4278-A317-62F4BE7BB0B4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57" id="{844038AA-8A95-4352-A53E-6211AE5D4994}">
            <xm:f>IF(ISNA(MATCH($B12,Réservé!$8:$8,0)),"",INDEX(Réservé!$29:$29,,MATCH($B12,Réservé!$8:$8,0))=1)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58" id="{DBC80EAF-86EB-428C-AFCF-DDB9BFD6B3A4}">
            <xm:f>IF(ISNA(MATCH($B12,Réservé!$8:$8,0)),"",INDEX(Réservé!$30:$30,,MATCH($B12,Réservé!$8:$8,0))=1)</xm:f>
            <x14:dxf>
              <fill>
                <patternFill>
                  <bgColor rgb="FF0070C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55" id="{89C6D6FD-019D-4E4E-BF22-F75D6AF7CCC3}">
            <xm:f>IF(ISNA(MATCH($B11,Réservé!$8:$8,0)),"",INDEX(Réservé!$29:$29,,MATCH($B11,Réservé!$8:$8,0))=1)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56" id="{D2CB0699-645D-4240-B69A-65758A75B0AE}">
            <xm:f>IF(ISNA(MATCH($B11,Réservé!$8:$8,0)),"",INDEX(Réservé!$30:$30,,MATCH($B11,Réservé!$8:$8,0))=1)</xm:f>
            <x14:dxf>
              <fill>
                <patternFill>
                  <bgColor rgb="FF0070C0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53" id="{98290836-D099-419A-AC2E-FC2D119D11F1}">
            <xm:f>IF(ISNA(MATCH($B10,Réservé!$8:$8,0)),"",INDEX(Réservé!$29:$29,,MATCH($B10,Réservé!$8:$8,0))=1)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54" id="{EFA22E54-8150-4238-B925-80E7D954BB5E}">
            <xm:f>IF(ISNA(MATCH($B10,Réservé!$8:$8,0)),"",INDEX(Réservé!$30:$30,,MATCH($B10,Réservé!$8:$8,0))=1)</xm:f>
            <x14:dxf>
              <fill>
                <patternFill>
                  <bgColor rgb="FF0070C0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51" id="{AD0EC58E-B669-4A30-9694-54DC18F4842B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52" id="{4C896E79-A6F1-441E-8B72-32BA838EFB7A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49" id="{035BF2DB-8D27-49EB-88C9-6392804249DA}">
            <xm:f>IF(ISNA(MATCH($B12,Réservé!$8:$8,0)),"",INDEX(Réservé!$29:$29,,MATCH($B12,Réservé!$8:$8,0))=1)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50" id="{9F3D2187-429F-4325-8251-9F3701FD302F}">
            <xm:f>IF(ISNA(MATCH($B12,Réservé!$8:$8,0)),"",INDEX(Réservé!$30:$30,,MATCH($B12,Réservé!$8:$8,0))=1)</xm:f>
            <x14:dxf>
              <fill>
                <patternFill>
                  <bgColor rgb="FF0070C0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47" id="{CDDF1AE7-B78B-43A4-8D1C-A19BDA1D7E19}">
            <xm:f>IF(ISNA(MATCH($B11,Réservé!$8:$8,0)),"",INDEX(Réservé!$29:$29,,MATCH($B11,Réservé!$8:$8,0))=1)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48" id="{B05BB6B3-D674-4257-9C09-1378B548EAC0}">
            <xm:f>IF(ISNA(MATCH($B11,Réservé!$8:$8,0)),"",INDEX(Réservé!$30:$30,,MATCH($B11,Réservé!$8:$8,0))=1)</xm:f>
            <x14:dxf>
              <fill>
                <patternFill>
                  <bgColor rgb="FF0070C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41" id="{D606D06A-2EB7-40FA-A1A1-B4856296BF09}">
            <xm:f>IF(ISNA(MATCH($B11,Réservé!$8:$8,0)),"",INDEX(Réservé!$29:$29,,MATCH($B11,Réservé!$8:$8,0))=1)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42" id="{5E36CD37-E6A1-4C27-9D49-B59BB039E0AF}">
            <xm:f>IF(ISNA(MATCH($B11,Réservé!$8:$8,0)),"",INDEX(Réservé!$30:$30,,MATCH($B11,Réservé!$8:$8,0))=1)</xm:f>
            <x14:dxf>
              <fill>
                <patternFill>
                  <bgColor rgb="FF0070C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39" id="{6547B1ED-4DA5-4306-B9E9-ACC7ACAB4036}">
            <xm:f>IF(ISNA(MATCH($B13,Réservé!$8:$8,0)),"",INDEX(Réservé!$29:$29,,MATCH($B13,Réservé!$8:$8,0))=1)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40" id="{8D454604-995E-41D7-92D7-F331E47C9B98}">
            <xm:f>IF(ISNA(MATCH($B13,Réservé!$8:$8,0)),"",INDEX(Réservé!$30:$30,,MATCH($B13,Réservé!$8:$8,0))=1)</xm:f>
            <x14:dxf>
              <fill>
                <patternFill>
                  <bgColor rgb="FF0070C0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37" id="{ACC9ECE2-0674-47DA-AA62-6AC3B02C4554}">
            <xm:f>IF(ISNA(MATCH($B10,Réservé!$8:$8,0)),"",INDEX(Réservé!$29:$29,,MATCH($B10,Réservé!$8:$8,0))=1)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38" id="{DB63E10A-97B1-4888-9000-FCCF74AAEDEF}">
            <xm:f>IF(ISNA(MATCH($B10,Réservé!$8:$8,0)),"",INDEX(Réservé!$30:$30,,MATCH($B10,Réservé!$8:$8,0))=1)</xm:f>
            <x14:dxf>
              <fill>
                <patternFill>
                  <bgColor rgb="FF0070C0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35" id="{88DD3AFE-F816-46E5-9AE9-B032FB97E5AF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36" id="{777A19C6-8D40-40CD-99AB-7A69AF9F08A5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7" id="{4149676C-7BAB-40A1-A2C3-745D7DE490F5}">
            <xm:f>IF(ISNA(MATCH($B10,Réservé!$8:$8,0)),"",INDEX(Réservé!$29:$29,,MATCH($B10,Réservé!$8:$8,0))=1)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8" id="{24CEE65D-3012-4448-8506-061AD8583E2A}">
            <xm:f>IF(ISNA(MATCH($B10,Réservé!$8:$8,0)),"",INDEX(Réservé!$30:$30,,MATCH($B10,Réservé!$8:$8,0))=1)</xm:f>
            <x14:dxf>
              <fill>
                <patternFill>
                  <bgColor rgb="FF0070C0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9" id="{74014C79-DAA3-4472-8CD0-983B3FF2B636}">
            <xm:f>IF(ISNA(MATCH($B9,Réservé!$8:$8,0)),"",INDEX(Réservé!$29:$29,,MATCH($B9,Réservé!$8:$8,0))=1)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10" id="{BA97F28F-A3E2-40D4-A9D5-31F30529F425}">
            <xm:f>IF(ISNA(MATCH($B9,Réservé!$8:$8,0)),"",INDEX(Réservé!$30:$30,,MATCH($B9,Réservé!$8:$8,0))=1)</xm:f>
            <x14:dxf>
              <fill>
                <patternFill>
                  <bgColor rgb="FF0070C0"/>
                </patternFill>
              </fill>
            </x14:dxf>
          </x14:cfRule>
          <xm:sqref>B9</xm:sqref>
        </x14:conditionalFormatting>
        <x14:conditionalFormatting xmlns:xm="http://schemas.microsoft.com/office/excel/2006/main">
          <x14:cfRule type="expression" priority="5" id="{E40CD7E2-97A3-4D03-8376-5F3F80CDCDE0}">
            <xm:f>IF(ISNA(MATCH($B11,Réservé!$8:$8,0)),"",INDEX(Réservé!$29:$29,,MATCH($B11,Réservé!$8:$8,0))=1)</xm:f>
            <x14:dxf>
              <fill>
                <patternFill>
                  <bgColor rgb="FFFF0000"/>
                </patternFill>
              </fill>
            </x14:dxf>
          </x14:cfRule>
          <x14:cfRule type="expression" priority="6" id="{9C1C0ADD-0A77-4085-A85E-0E6FE1726345}">
            <xm:f>IF(ISNA(MATCH($B11,Réservé!$8:$8,0)),"",INDEX(Réservé!$30:$30,,MATCH($B11,Réservé!$8:$8,0))=1)</xm:f>
            <x14:dxf>
              <fill>
                <patternFill>
                  <bgColor rgb="FF0070C0"/>
                </patternFill>
              </fill>
            </x14:dxf>
          </x14:cfRule>
          <xm:sqref>B11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L9"/>
  <sheetViews>
    <sheetView zoomScaleNormal="100" workbookViewId="0">
      <selection activeCell="L1" sqref="A1:XFD1048576"/>
    </sheetView>
  </sheetViews>
  <sheetFormatPr baseColWidth="10" defaultRowHeight="15"/>
  <cols>
    <col min="1" max="1" width="11.42578125" style="3"/>
    <col min="2" max="3" width="36.7109375" style="3" customWidth="1"/>
    <col min="4" max="4" width="21.140625" style="3" customWidth="1"/>
    <col min="5" max="5" width="4.5703125" style="3" customWidth="1"/>
    <col min="6" max="6" width="11.42578125" style="3"/>
    <col min="7" max="8" width="36.7109375" style="3" customWidth="1"/>
    <col min="9" max="9" width="21.140625" style="3" customWidth="1"/>
    <col min="10" max="16384" width="11.42578125" style="3"/>
  </cols>
  <sheetData>
    <row r="1" spans="1:12" ht="161.25">
      <c r="A1" s="169" t="e">
        <f ca="1">INDIRECT(Réservé!N5&amp;"C13")</f>
        <v>#REF!</v>
      </c>
      <c r="B1" s="169"/>
      <c r="C1" s="169"/>
      <c r="D1" s="169"/>
      <c r="E1" s="4"/>
      <c r="F1" s="172" t="e">
        <f ca="1">INDIRECT(Réservé!N5&amp;"I13")</f>
        <v>#REF!</v>
      </c>
      <c r="G1" s="173"/>
      <c r="H1" s="173"/>
      <c r="I1" s="173"/>
      <c r="J1" s="20"/>
      <c r="K1" s="20"/>
      <c r="L1" s="8"/>
    </row>
    <row r="2" spans="1:12" ht="161.25">
      <c r="A2" s="170" t="e">
        <f ca="1">SUM(Réservé!B29:I29)</f>
        <v>#REF!</v>
      </c>
      <c r="B2" s="171"/>
      <c r="C2" s="171"/>
      <c r="D2" s="171"/>
      <c r="E2" s="7"/>
      <c r="F2" s="174" t="e">
        <f ca="1">SUM(Réservé!B30:I30)</f>
        <v>#REF!</v>
      </c>
      <c r="G2" s="175"/>
      <c r="H2" s="175"/>
      <c r="I2" s="175"/>
      <c r="J2" s="21"/>
      <c r="K2" s="21"/>
      <c r="L2" s="8"/>
    </row>
    <row r="3" spans="1:12" ht="42.75" customHeight="1">
      <c r="A3" s="70"/>
      <c r="B3" s="80"/>
      <c r="C3" s="80"/>
      <c r="D3" s="80"/>
      <c r="E3" s="7"/>
      <c r="F3" s="81"/>
      <c r="G3" s="82"/>
      <c r="H3" s="82"/>
      <c r="I3" s="82"/>
      <c r="J3" s="21"/>
      <c r="K3" s="21"/>
      <c r="L3" s="8"/>
    </row>
    <row r="4" spans="1:12" ht="72.75" customHeight="1">
      <c r="A4" s="176" t="s">
        <v>51</v>
      </c>
      <c r="B4" s="177"/>
      <c r="C4" s="177"/>
      <c r="D4" s="177"/>
      <c r="E4" s="7"/>
      <c r="F4" s="176" t="s">
        <v>52</v>
      </c>
      <c r="G4" s="177"/>
      <c r="H4" s="177"/>
      <c r="I4" s="177"/>
      <c r="J4" s="21"/>
      <c r="K4" s="21"/>
      <c r="L4" s="8"/>
    </row>
    <row r="5" spans="1:12" ht="60">
      <c r="A5" s="104" t="e">
        <f ca="1">Réservé!K16</f>
        <v>#REF!</v>
      </c>
      <c r="B5" s="104"/>
      <c r="C5" s="104"/>
      <c r="D5" s="103" t="s">
        <v>9</v>
      </c>
      <c r="E5" s="22"/>
      <c r="F5" s="104" t="e">
        <f ca="1">Réservé!L16</f>
        <v>#REF!</v>
      </c>
      <c r="G5" s="105"/>
      <c r="H5" s="105"/>
      <c r="I5" s="103" t="s">
        <v>9</v>
      </c>
      <c r="J5" s="22"/>
      <c r="K5" s="22"/>
      <c r="L5" s="22"/>
    </row>
    <row r="6" spans="1:12" ht="60">
      <c r="A6" s="9"/>
      <c r="B6" s="102" t="e">
        <f ca="1">INDIRECT(Réservé!N5&amp;"C13")</f>
        <v>#REF!</v>
      </c>
      <c r="C6" s="83" t="e">
        <f ca="1">INDIRECT(Réservé!N5&amp;"I13")</f>
        <v>#REF!</v>
      </c>
      <c r="D6" s="28" t="e">
        <f ca="1">Réservé!K15</f>
        <v>#REF!</v>
      </c>
      <c r="E6" s="22"/>
      <c r="F6" s="9"/>
      <c r="G6" s="102" t="e">
        <f ca="1">INDIRECT(Réservé!N5&amp;"C13")</f>
        <v>#REF!</v>
      </c>
      <c r="H6" s="84" t="e">
        <f ca="1">INDIRECT(Réservé!N5&amp;"I13")</f>
        <v>#REF!</v>
      </c>
      <c r="I6" s="29" t="e">
        <f ca="1">Réservé!L15</f>
        <v>#REF!</v>
      </c>
      <c r="J6" s="19"/>
      <c r="K6" s="19"/>
      <c r="L6" s="19"/>
    </row>
    <row r="7" spans="1:12" ht="45">
      <c r="A7" s="23" t="s">
        <v>1</v>
      </c>
      <c r="B7" s="120" t="e">
        <f ca="1">Réservé!K21</f>
        <v>#REF!</v>
      </c>
      <c r="C7" s="120" t="e">
        <f ca="1">Réservé!K22</f>
        <v>#REF!</v>
      </c>
      <c r="F7" s="23" t="s">
        <v>1</v>
      </c>
      <c r="G7" s="120" t="e">
        <f ca="1">Réservé!L21</f>
        <v>#REF!</v>
      </c>
      <c r="H7" s="120" t="e">
        <f ca="1">Réservé!L22</f>
        <v>#REF!</v>
      </c>
    </row>
    <row r="8" spans="1:12" ht="45">
      <c r="A8" s="23" t="s">
        <v>2</v>
      </c>
      <c r="B8" s="120" t="e">
        <f ca="1">Réservé!K23</f>
        <v>#REF!</v>
      </c>
      <c r="C8" s="120" t="e">
        <f ca="1">Réservé!K24</f>
        <v>#REF!</v>
      </c>
      <c r="F8" s="23" t="s">
        <v>2</v>
      </c>
      <c r="G8" s="120" t="e">
        <f ca="1">Réservé!L23</f>
        <v>#REF!</v>
      </c>
      <c r="H8" s="120" t="e">
        <f ca="1">Réservé!L24</f>
        <v>#REF!</v>
      </c>
    </row>
    <row r="9" spans="1:12" ht="45">
      <c r="A9" s="23" t="s">
        <v>3</v>
      </c>
      <c r="B9" s="120" t="e">
        <f ca="1">Réservé!K25</f>
        <v>#REF!</v>
      </c>
      <c r="C9" s="120" t="e">
        <f ca="1">Réservé!K26</f>
        <v>#REF!</v>
      </c>
      <c r="D9" s="26"/>
      <c r="F9" s="23" t="s">
        <v>3</v>
      </c>
      <c r="G9" s="120" t="e">
        <f ca="1">Réservé!L25</f>
        <v>#REF!</v>
      </c>
      <c r="H9" s="120" t="e">
        <f ca="1">Réservé!L26</f>
        <v>#REF!</v>
      </c>
      <c r="I9" s="27"/>
      <c r="J9" s="27"/>
      <c r="K9" s="27"/>
      <c r="L9" s="27"/>
    </row>
  </sheetData>
  <sheetProtection selectLockedCells="1" selectUnlockedCells="1"/>
  <mergeCells count="6">
    <mergeCell ref="A1:D1"/>
    <mergeCell ref="A2:D2"/>
    <mergeCell ref="F1:I1"/>
    <mergeCell ref="F2:I2"/>
    <mergeCell ref="A4:D4"/>
    <mergeCell ref="F4:I4"/>
  </mergeCells>
  <pageMargins left="0.70866141732283472" right="0.11811023622047245" top="0" bottom="0" header="0" footer="0.39370078740157483"/>
  <pageSetup paperSize="9" scale="52" orientation="landscape" r:id="rId1"/>
  <headerFooter>
    <oddFooter>Page 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8"/>
  <sheetViews>
    <sheetView tabSelected="1" workbookViewId="0">
      <selection activeCell="A3" sqref="A3"/>
    </sheetView>
  </sheetViews>
  <sheetFormatPr baseColWidth="10" defaultRowHeight="15"/>
  <cols>
    <col min="1" max="1" width="31.28515625" customWidth="1"/>
  </cols>
  <sheetData>
    <row r="1" spans="1:2">
      <c r="A1" s="3" t="s">
        <v>16</v>
      </c>
      <c r="B1" t="s">
        <v>214</v>
      </c>
    </row>
    <row r="2" spans="1:2">
      <c r="A2" s="30" t="s">
        <v>254</v>
      </c>
      <c r="B2" s="30" t="s">
        <v>97</v>
      </c>
    </row>
    <row r="4" spans="1:2">
      <c r="A4" t="s">
        <v>59</v>
      </c>
      <c r="B4" t="s">
        <v>64</v>
      </c>
    </row>
    <row r="5" spans="1:2">
      <c r="A5" t="s">
        <v>60</v>
      </c>
      <c r="B5" t="s">
        <v>61</v>
      </c>
    </row>
    <row r="6" spans="1:2">
      <c r="A6" t="s">
        <v>253</v>
      </c>
      <c r="B6" t="s">
        <v>62</v>
      </c>
    </row>
    <row r="7" spans="1:2">
      <c r="A7" t="s">
        <v>63</v>
      </c>
      <c r="B7" t="s">
        <v>65</v>
      </c>
    </row>
    <row r="8" spans="1:2">
      <c r="A8" t="s">
        <v>79</v>
      </c>
      <c r="B8" t="s">
        <v>78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N44"/>
  <sheetViews>
    <sheetView topLeftCell="A5" zoomScale="85" zoomScaleNormal="85" workbookViewId="0">
      <selection activeCell="D13" sqref="D13"/>
    </sheetView>
  </sheetViews>
  <sheetFormatPr baseColWidth="10" defaultRowHeight="12"/>
  <cols>
    <col min="1" max="1" width="18.28515625" style="31" customWidth="1"/>
    <col min="2" max="9" width="15.7109375" style="32" customWidth="1"/>
    <col min="10" max="10" width="12.7109375" style="32" customWidth="1"/>
    <col min="11" max="12" width="15.7109375" style="32" customWidth="1"/>
    <col min="13" max="13" width="2.5703125" style="32" customWidth="1"/>
    <col min="14" max="14" width="29" style="32" customWidth="1"/>
    <col min="15" max="16384" width="11.42578125" style="32"/>
  </cols>
  <sheetData>
    <row r="1" spans="1:14">
      <c r="A1" s="40" t="s">
        <v>28</v>
      </c>
      <c r="B1" s="41" t="e">
        <f t="shared" ref="B1:I1" ca="1" si="0">IF(B$6=1,IF(B$7&lt;&gt;0,IF(B$14=0,B$8,""),""),"")</f>
        <v>#REF!</v>
      </c>
      <c r="C1" s="41" t="e">
        <f t="shared" ca="1" si="0"/>
        <v>#REF!</v>
      </c>
      <c r="D1" s="41" t="e">
        <f t="shared" ca="1" si="0"/>
        <v>#REF!</v>
      </c>
      <c r="E1" s="41" t="e">
        <f t="shared" ca="1" si="0"/>
        <v>#REF!</v>
      </c>
      <c r="F1" s="41" t="e">
        <f t="shared" ca="1" si="0"/>
        <v>#REF!</v>
      </c>
      <c r="G1" s="41" t="e">
        <f t="shared" ca="1" si="0"/>
        <v>#REF!</v>
      </c>
      <c r="H1" s="41" t="e">
        <f t="shared" ca="1" si="0"/>
        <v>#REF!</v>
      </c>
      <c r="I1" s="41" t="e">
        <f t="shared" ca="1" si="0"/>
        <v>#REF!</v>
      </c>
      <c r="J1" s="41"/>
      <c r="K1" s="42"/>
      <c r="L1" s="42"/>
    </row>
    <row r="2" spans="1:14">
      <c r="A2" s="40" t="s">
        <v>29</v>
      </c>
      <c r="B2" s="41" t="e">
        <f t="shared" ref="B2:I2" ca="1" si="1">IF(B$6=2,IF(B$7&lt;&gt;0,IF(B$14=0,B$8,""),""),"")</f>
        <v>#REF!</v>
      </c>
      <c r="C2" s="41" t="e">
        <f t="shared" ca="1" si="1"/>
        <v>#REF!</v>
      </c>
      <c r="D2" s="41" t="e">
        <f t="shared" ca="1" si="1"/>
        <v>#REF!</v>
      </c>
      <c r="E2" s="41" t="e">
        <f t="shared" ca="1" si="1"/>
        <v>#REF!</v>
      </c>
      <c r="F2" s="41" t="e">
        <f t="shared" ca="1" si="1"/>
        <v>#REF!</v>
      </c>
      <c r="G2" s="41" t="e">
        <f t="shared" ca="1" si="1"/>
        <v>#REF!</v>
      </c>
      <c r="H2" s="41" t="e">
        <f t="shared" ca="1" si="1"/>
        <v>#REF!</v>
      </c>
      <c r="I2" s="41" t="e">
        <f t="shared" ca="1" si="1"/>
        <v>#REF!</v>
      </c>
      <c r="J2" s="41"/>
      <c r="K2" s="42"/>
      <c r="L2" s="42"/>
    </row>
    <row r="3" spans="1:14" ht="18.75" customHeight="1">
      <c r="J3" s="32" t="s">
        <v>30</v>
      </c>
      <c r="K3" s="32" t="s">
        <v>28</v>
      </c>
      <c r="L3" s="32" t="s">
        <v>29</v>
      </c>
    </row>
    <row r="4" spans="1:14" ht="24">
      <c r="A4" s="31" t="s">
        <v>17</v>
      </c>
      <c r="B4" s="34" t="s">
        <v>10</v>
      </c>
      <c r="C4" s="34" t="s">
        <v>11</v>
      </c>
      <c r="D4" s="34" t="s">
        <v>12</v>
      </c>
      <c r="E4" s="34" t="s">
        <v>13</v>
      </c>
      <c r="F4" s="34" t="s">
        <v>4</v>
      </c>
      <c r="G4" s="34" t="s">
        <v>5</v>
      </c>
      <c r="H4" s="34" t="s">
        <v>18</v>
      </c>
      <c r="I4" s="34" t="s">
        <v>19</v>
      </c>
      <c r="J4" s="34"/>
      <c r="K4" s="35" t="e">
        <f ca="1">IF(K$8=0,"",INDEX($B$4:$I$4,MATCH(K$8,$B8:$I8,0)))</f>
        <v>#REF!</v>
      </c>
      <c r="L4" s="35" t="e">
        <f ca="1">IF(L$8=0,"",INDEX($B$4:$I$4,MATCH(L$8,$B8:$I8,0)))</f>
        <v>#REF!</v>
      </c>
      <c r="N4" s="34" t="s">
        <v>15</v>
      </c>
    </row>
    <row r="5" spans="1:14" ht="24">
      <c r="A5" s="31" t="str">
        <f>CONCATENATE("Feuille du classeur ",'A renseigner'!A2)</f>
        <v>Feuille du classeur J04260N11.xls</v>
      </c>
      <c r="B5" s="31" t="str">
        <f>"["&amp;'A renseigner'!A2&amp;"]"&amp;B4&amp;"!"</f>
        <v>[J04260N11.xls]SH1!</v>
      </c>
      <c r="C5" s="31" t="str">
        <f>"["&amp;'A renseigner'!A2&amp;"]"&amp;C4&amp;"!"</f>
        <v>[J04260N11.xls]SH2!</v>
      </c>
      <c r="D5" s="31" t="str">
        <f>"["&amp;'A renseigner'!A2&amp;"]"&amp;D4&amp;"!"</f>
        <v>[J04260N11.xls]SD1!</v>
      </c>
      <c r="E5" s="31" t="str">
        <f>"["&amp;'A renseigner'!A2&amp;"]"&amp;E4&amp;"!"</f>
        <v>[J04260N11.xls]SD2!</v>
      </c>
      <c r="F5" s="31" t="str">
        <f>"["&amp;'A renseigner'!A2&amp;"]"&amp;F4&amp;"!"</f>
        <v>[J04260N11.xls]DH!</v>
      </c>
      <c r="G5" s="31" t="str">
        <f>"["&amp;'A renseigner'!A2&amp;"]"&amp;G4&amp;"!"</f>
        <v>[J04260N11.xls]DD!</v>
      </c>
      <c r="H5" s="31" t="str">
        <f>"["&amp;'A renseigner'!A2&amp;"]"&amp;H4&amp;"!"</f>
        <v>[J04260N11.xls]DM1!</v>
      </c>
      <c r="I5" s="31" t="str">
        <f>"["&amp;'A renseigner'!A2&amp;"]"&amp;I4&amp;"!"</f>
        <v>[J04260N11.xls]DM2!</v>
      </c>
      <c r="J5" s="31"/>
      <c r="K5" s="36" t="e">
        <f t="shared" ref="K5:L7" ca="1" si="2">IF(K$8=0,"",INDEX($B5:$I5,MATCH(K$8,$B$8:$I$8,0)))</f>
        <v>#REF!</v>
      </c>
      <c r="L5" s="36" t="e">
        <f t="shared" ca="1" si="2"/>
        <v>#REF!</v>
      </c>
      <c r="N5" s="31" t="str">
        <f>"'["&amp;'A renseigner'!A2&amp;"]"&amp;N4&amp;"'!"</f>
        <v>'[J04260N11.xls]FM Senior'!</v>
      </c>
    </row>
    <row r="6" spans="1:14" s="35" customFormat="1" ht="15" customHeight="1">
      <c r="A6" s="35" t="s">
        <v>21</v>
      </c>
      <c r="B6" s="35" t="e">
        <f t="shared" ref="B6:I6" ca="1" si="3">INDIRECT(B5&amp;"C6")</f>
        <v>#REF!</v>
      </c>
      <c r="C6" s="35" t="e">
        <f t="shared" ca="1" si="3"/>
        <v>#REF!</v>
      </c>
      <c r="D6" s="35" t="e">
        <f t="shared" ca="1" si="3"/>
        <v>#REF!</v>
      </c>
      <c r="E6" s="35" t="e">
        <f t="shared" ca="1" si="3"/>
        <v>#REF!</v>
      </c>
      <c r="F6" s="35" t="e">
        <f t="shared" ca="1" si="3"/>
        <v>#REF!</v>
      </c>
      <c r="G6" s="35" t="e">
        <f t="shared" ca="1" si="3"/>
        <v>#REF!</v>
      </c>
      <c r="H6" s="35" t="e">
        <f t="shared" ca="1" si="3"/>
        <v>#REF!</v>
      </c>
      <c r="I6" s="35" t="e">
        <f t="shared" ca="1" si="3"/>
        <v>#REF!</v>
      </c>
      <c r="K6" s="35" t="e">
        <f t="shared" ca="1" si="2"/>
        <v>#REF!</v>
      </c>
      <c r="L6" s="35" t="e">
        <f t="shared" ca="1" si="2"/>
        <v>#REF!</v>
      </c>
    </row>
    <row r="7" spans="1:14" s="35" customFormat="1" ht="15" customHeight="1">
      <c r="A7" s="35" t="s">
        <v>20</v>
      </c>
      <c r="B7" s="35" t="e">
        <f t="shared" ref="B7:I7" ca="1" si="4">INDIRECT(B5&amp;"AI4")</f>
        <v>#REF!</v>
      </c>
      <c r="C7" s="35" t="e">
        <f t="shared" ca="1" si="4"/>
        <v>#REF!</v>
      </c>
      <c r="D7" s="35" t="e">
        <f t="shared" ca="1" si="4"/>
        <v>#REF!</v>
      </c>
      <c r="E7" s="35" t="e">
        <f t="shared" ca="1" si="4"/>
        <v>#REF!</v>
      </c>
      <c r="F7" s="35" t="e">
        <f t="shared" ca="1" si="4"/>
        <v>#REF!</v>
      </c>
      <c r="G7" s="35" t="e">
        <f t="shared" ca="1" si="4"/>
        <v>#REF!</v>
      </c>
      <c r="H7" s="35" t="e">
        <f t="shared" ca="1" si="4"/>
        <v>#REF!</v>
      </c>
      <c r="I7" s="35" t="e">
        <f t="shared" ca="1" si="4"/>
        <v>#REF!</v>
      </c>
      <c r="K7" s="35" t="e">
        <f t="shared" ca="1" si="2"/>
        <v>#REF!</v>
      </c>
      <c r="L7" s="35" t="e">
        <f t="shared" ca="1" si="2"/>
        <v>#REF!</v>
      </c>
      <c r="N7" s="32" t="s">
        <v>50</v>
      </c>
    </row>
    <row r="8" spans="1:14" s="35" customFormat="1" ht="15" customHeight="1">
      <c r="A8" s="35" t="s">
        <v>8</v>
      </c>
      <c r="B8" s="35" t="e">
        <f t="shared" ref="B8:I8" ca="1" si="5">INDIRECT(B5&amp;"C5")</f>
        <v>#REF!</v>
      </c>
      <c r="C8" s="35" t="e">
        <f t="shared" ca="1" si="5"/>
        <v>#REF!</v>
      </c>
      <c r="D8" s="35" t="e">
        <f t="shared" ca="1" si="5"/>
        <v>#REF!</v>
      </c>
      <c r="E8" s="35" t="e">
        <f t="shared" ca="1" si="5"/>
        <v>#REF!</v>
      </c>
      <c r="F8" s="35" t="e">
        <f t="shared" ca="1" si="5"/>
        <v>#REF!</v>
      </c>
      <c r="G8" s="35" t="e">
        <f t="shared" ca="1" si="5"/>
        <v>#REF!</v>
      </c>
      <c r="H8" s="35" t="e">
        <f t="shared" ca="1" si="5"/>
        <v>#REF!</v>
      </c>
      <c r="I8" s="35" t="e">
        <f t="shared" ca="1" si="5"/>
        <v>#REF!</v>
      </c>
      <c r="K8" s="32" t="e">
        <f ca="1">MAX(B1:I1)</f>
        <v>#REF!</v>
      </c>
      <c r="L8" s="32" t="e">
        <f ca="1">MAX(B2:I2)</f>
        <v>#REF!</v>
      </c>
      <c r="N8" s="33">
        <f ca="1">NOW()</f>
        <v>43435.644520601854</v>
      </c>
    </row>
    <row r="9" spans="1:14" ht="15" customHeight="1">
      <c r="A9" s="35" t="s">
        <v>22</v>
      </c>
      <c r="B9" s="38" t="e">
        <f ca="1">INDIRECT("["&amp;'A renseigner'!$A$2&amp;"]Form4bH!D10")</f>
        <v>#REF!</v>
      </c>
      <c r="C9" s="38" t="e">
        <f ca="1">INDIRECT("["&amp;'A renseigner'!$A$2&amp;"]Form4bH!D11")</f>
        <v>#REF!</v>
      </c>
      <c r="D9" s="38" t="e">
        <f ca="1">INDIRECT("["&amp;'A renseigner'!$A$2&amp;"]Form4bH!D12")</f>
        <v>#REF!</v>
      </c>
      <c r="E9" s="38" t="e">
        <f ca="1">INDIRECT("["&amp;'A renseigner'!$A$2&amp;"]Form4bH!D13")</f>
        <v>#REF!</v>
      </c>
      <c r="F9" s="38" t="e">
        <f ca="1">INDIRECT("["&amp;'A renseigner'!$A$2&amp;"]Form4bH!D14")</f>
        <v>#REF!</v>
      </c>
      <c r="G9" s="38" t="e">
        <f ca="1">INDIRECT("["&amp;'A renseigner'!$A$2&amp;"]Form4bH!D16")</f>
        <v>#REF!</v>
      </c>
      <c r="H9" s="38" t="e">
        <f ca="1">INDIRECT("["&amp;'A renseigner'!$A$2&amp;"]Form4bH!D18")</f>
        <v>#REF!</v>
      </c>
      <c r="I9" s="38" t="e">
        <f ca="1">INDIRECT("["&amp;'A renseigner'!$A$2&amp;"]Form4bH!D20")</f>
        <v>#REF!</v>
      </c>
      <c r="J9" s="37"/>
      <c r="K9" s="37" t="e">
        <f ca="1">IF(K$8=0,"",INDEX($B9:$I9,MATCH(K$8,$B$8:$I$8,0)))</f>
        <v>#REF!</v>
      </c>
      <c r="L9" s="37" t="e">
        <f ca="1">IF(L$8=0,"",INDEX($B9:$I9,MATCH(L$8,$B$8:$I$8,0)))</f>
        <v>#REF!</v>
      </c>
    </row>
    <row r="10" spans="1:14" ht="15" customHeight="1">
      <c r="A10" s="35" t="s">
        <v>23</v>
      </c>
      <c r="B10" s="37"/>
      <c r="C10" s="37"/>
      <c r="D10" s="37"/>
      <c r="E10" s="37"/>
      <c r="F10" s="38" t="e">
        <f ca="1">INDIRECT("["&amp;'A renseigner'!$A$2&amp;"]Form4bH!D15")</f>
        <v>#REF!</v>
      </c>
      <c r="G10" s="38" t="e">
        <f ca="1">INDIRECT("["&amp;'A renseigner'!$A$2&amp;"]Form4bH!D17")</f>
        <v>#REF!</v>
      </c>
      <c r="H10" s="38" t="e">
        <f ca="1">INDIRECT("["&amp;'A renseigner'!$A$2&amp;"]Form4bH!D19")</f>
        <v>#REF!</v>
      </c>
      <c r="I10" s="38" t="e">
        <f ca="1">INDIRECT("["&amp;'A renseigner'!$A$2&amp;"]Form4bH!D21")</f>
        <v>#REF!</v>
      </c>
      <c r="J10" s="37"/>
      <c r="K10" s="38" t="e">
        <f ca="1">IF(OR(K$8=0,LEFT(K$4,1)="S"),"",INDEX($B10:$I10,MATCH(K$8,$B$8:$I$8,0)))</f>
        <v>#REF!</v>
      </c>
      <c r="L10" s="38" t="e">
        <f ca="1">IF(OR(L$8=0,LEFT(L$4,1)="S"),"",INDEX($B10:$I10,MATCH(L$8,$B$8:$I$8,0)))</f>
        <v>#REF!</v>
      </c>
    </row>
    <row r="11" spans="1:14" ht="15" customHeight="1">
      <c r="A11" s="35" t="s">
        <v>24</v>
      </c>
      <c r="B11" s="38" t="e">
        <f ca="1">INDIRECT("["&amp;'A renseigner'!$A$2&amp;"]Form4bV!D10")</f>
        <v>#REF!</v>
      </c>
      <c r="C11" s="38" t="e">
        <f ca="1">INDIRECT("["&amp;'A renseigner'!$A$2&amp;"]Form4bV!D11")</f>
        <v>#REF!</v>
      </c>
      <c r="D11" s="38" t="e">
        <f ca="1">INDIRECT("["&amp;'A renseigner'!$A$2&amp;"]Form4bV!D12")</f>
        <v>#REF!</v>
      </c>
      <c r="E11" s="38" t="e">
        <f ca="1">INDIRECT("["&amp;'A renseigner'!$A$2&amp;"]Form4bV!D13")</f>
        <v>#REF!</v>
      </c>
      <c r="F11" s="38" t="e">
        <f ca="1">INDIRECT("["&amp;'A renseigner'!$A$2&amp;"]Form4bV!D14")</f>
        <v>#REF!</v>
      </c>
      <c r="G11" s="38" t="e">
        <f ca="1">INDIRECT("["&amp;'A renseigner'!$A$2&amp;"]Form4bV!D16")</f>
        <v>#REF!</v>
      </c>
      <c r="H11" s="38" t="e">
        <f ca="1">INDIRECT("["&amp;'A renseigner'!$A$2&amp;"]Form4bV!D18")</f>
        <v>#REF!</v>
      </c>
      <c r="I11" s="38" t="e">
        <f ca="1">INDIRECT("["&amp;'A renseigner'!$A$2&amp;"]Form4bV!D20")</f>
        <v>#REF!</v>
      </c>
      <c r="J11" s="37"/>
      <c r="K11" s="37" t="e">
        <f ca="1">IF(K$8=0,"",INDEX($B11:$I11,MATCH(K$8,$B$8:$I$8,0)))</f>
        <v>#REF!</v>
      </c>
      <c r="L11" s="37" t="e">
        <f ca="1">IF(L$8=0,"",INDEX($B11:$I11,MATCH(L$8,$B$8:$I$8,0)))</f>
        <v>#REF!</v>
      </c>
      <c r="N11" s="32" t="e">
        <f ca="1">"Journée n°"&amp;RIGHT(INDIRECT(N5&amp;"G6"),2)</f>
        <v>#REF!</v>
      </c>
    </row>
    <row r="12" spans="1:14" ht="21" customHeight="1">
      <c r="A12" s="35" t="s">
        <v>25</v>
      </c>
      <c r="B12" s="37"/>
      <c r="C12" s="37"/>
      <c r="D12" s="37"/>
      <c r="E12" s="37"/>
      <c r="F12" s="38" t="e">
        <f ca="1">INDIRECT("["&amp;'A renseigner'!$A$2&amp;"]Form4bV!D15")</f>
        <v>#REF!</v>
      </c>
      <c r="G12" s="38" t="e">
        <f ca="1">INDIRECT("["&amp;'A renseigner'!$A$2&amp;"]Form4bV!D17")</f>
        <v>#REF!</v>
      </c>
      <c r="H12" s="38" t="e">
        <f ca="1">INDIRECT("["&amp;'A renseigner'!$A$2&amp;"]Form4bV!D19")</f>
        <v>#REF!</v>
      </c>
      <c r="I12" s="38" t="e">
        <f ca="1">INDIRECT("["&amp;'A renseigner'!$A$2&amp;"]Form4bV!D21")</f>
        <v>#REF!</v>
      </c>
      <c r="J12" s="37"/>
      <c r="K12" s="38" t="e">
        <f ca="1">IF(OR(K$8=0,LEFT(K$4,1)="S"),"",INDEX($B12:$I12,MATCH(K$8,$B$8:$I$8,0)))</f>
        <v>#REF!</v>
      </c>
      <c r="L12" s="38" t="e">
        <f ca="1">IF(OR(L$8=0,LEFT(L$4,1)="S"),"",INDEX($B12:$I12,MATCH(L$8,$B$8:$I$8,0)))</f>
        <v>#REF!</v>
      </c>
      <c r="N12" s="31"/>
    </row>
    <row r="13" spans="1:14" ht="21" customHeight="1">
      <c r="A13" s="35" t="s">
        <v>26</v>
      </c>
      <c r="B13" s="39" t="e">
        <f t="shared" ref="B13:I13" ca="1" si="6">INDIRECT(B$5&amp;"AI6")</f>
        <v>#REF!</v>
      </c>
      <c r="C13" s="39" t="e">
        <f t="shared" ca="1" si="6"/>
        <v>#REF!</v>
      </c>
      <c r="D13" s="39" t="e">
        <f t="shared" ca="1" si="6"/>
        <v>#REF!</v>
      </c>
      <c r="E13" s="39" t="e">
        <f t="shared" ca="1" si="6"/>
        <v>#REF!</v>
      </c>
      <c r="F13" s="39" t="e">
        <f t="shared" ca="1" si="6"/>
        <v>#REF!</v>
      </c>
      <c r="G13" s="39" t="e">
        <f t="shared" ca="1" si="6"/>
        <v>#REF!</v>
      </c>
      <c r="H13" s="39" t="e">
        <f t="shared" ca="1" si="6"/>
        <v>#REF!</v>
      </c>
      <c r="I13" s="39" t="e">
        <f t="shared" ca="1" si="6"/>
        <v>#REF!</v>
      </c>
      <c r="J13" s="39"/>
      <c r="K13" s="39" t="e">
        <f ca="1">IF(K$8=0,0,INDEX($B13:$I13,MATCH(K$8,$B$8:$I$8,0)))</f>
        <v>#REF!</v>
      </c>
      <c r="L13" s="39" t="e">
        <f ca="1">IF(L$8=0,0,INDEX($B13:$I13,MATCH(L$8,$B$8:$I$8,0)))</f>
        <v>#REF!</v>
      </c>
      <c r="N13" s="32" t="e">
        <f ca="1">"Juge-Arbitre: "&amp;INDIRECT(N5&amp;"M3")</f>
        <v>#REF!</v>
      </c>
    </row>
    <row r="14" spans="1:14" ht="21" customHeight="1">
      <c r="A14" s="35" t="s">
        <v>27</v>
      </c>
      <c r="B14" s="39" t="e">
        <f t="shared" ref="B14:I14" ca="1" si="7">INDIRECT(B$5&amp;"AL6")</f>
        <v>#REF!</v>
      </c>
      <c r="C14" s="39" t="e">
        <f t="shared" ca="1" si="7"/>
        <v>#REF!</v>
      </c>
      <c r="D14" s="39" t="e">
        <f t="shared" ca="1" si="7"/>
        <v>#REF!</v>
      </c>
      <c r="E14" s="39" t="e">
        <f t="shared" ca="1" si="7"/>
        <v>#REF!</v>
      </c>
      <c r="F14" s="39" t="e">
        <f t="shared" ca="1" si="7"/>
        <v>#REF!</v>
      </c>
      <c r="G14" s="39" t="e">
        <f t="shared" ca="1" si="7"/>
        <v>#REF!</v>
      </c>
      <c r="H14" s="39" t="e">
        <f t="shared" ca="1" si="7"/>
        <v>#REF!</v>
      </c>
      <c r="I14" s="39" t="e">
        <f t="shared" ca="1" si="7"/>
        <v>#REF!</v>
      </c>
      <c r="J14" s="39"/>
      <c r="K14" s="39" t="e">
        <f ca="1">IF(K$8=0,0,INDEX($B14:$I14,MATCH(K$8,$B$8:$I$8,0)))</f>
        <v>#REF!</v>
      </c>
      <c r="L14" s="39" t="e">
        <f ca="1">IF(L$8=0,0,INDEX($B14:$I14,MATCH(L$8,$B$8:$I$8,0)))</f>
        <v>#REF!</v>
      </c>
    </row>
    <row r="15" spans="1:14" ht="21" customHeight="1">
      <c r="A15" s="35" t="s">
        <v>9</v>
      </c>
      <c r="B15" s="39" t="e">
        <f t="shared" ref="B15:I15" ca="1" si="8">IF(B14=0,IF(B13=0,0,$N$8-B13),B14-B13)</f>
        <v>#REF!</v>
      </c>
      <c r="C15" s="39" t="e">
        <f t="shared" ca="1" si="8"/>
        <v>#REF!</v>
      </c>
      <c r="D15" s="39" t="e">
        <f t="shared" ca="1" si="8"/>
        <v>#REF!</v>
      </c>
      <c r="E15" s="39" t="e">
        <f t="shared" ca="1" si="8"/>
        <v>#REF!</v>
      </c>
      <c r="F15" s="39" t="e">
        <f t="shared" ca="1" si="8"/>
        <v>#REF!</v>
      </c>
      <c r="G15" s="39" t="e">
        <f t="shared" ca="1" si="8"/>
        <v>#REF!</v>
      </c>
      <c r="H15" s="39" t="e">
        <f t="shared" ca="1" si="8"/>
        <v>#REF!</v>
      </c>
      <c r="I15" s="39" t="e">
        <f t="shared" ca="1" si="8"/>
        <v>#REF!</v>
      </c>
      <c r="J15" s="39"/>
      <c r="K15" s="39" t="e">
        <f ca="1">IF(K14=0,IF(K13=0,0,$N$8-K13),K14-K13)</f>
        <v>#REF!</v>
      </c>
      <c r="L15" s="39" t="e">
        <f ca="1">IF(L14=0,IF(L13=0,0,$N$8-L13),L14-L13)</f>
        <v>#REF!</v>
      </c>
      <c r="N15" s="32" t="e">
        <f ca="1">"Division: "&amp;INDIRECT(N5&amp;"G4")</f>
        <v>#REF!</v>
      </c>
    </row>
    <row r="16" spans="1:14" ht="15" customHeight="1">
      <c r="A16" s="31" t="s">
        <v>39</v>
      </c>
      <c r="B16" s="32" t="s">
        <v>31</v>
      </c>
      <c r="C16" s="32" t="s">
        <v>32</v>
      </c>
      <c r="D16" s="32" t="s">
        <v>33</v>
      </c>
      <c r="E16" s="32" t="s">
        <v>34</v>
      </c>
      <c r="F16" s="32" t="s">
        <v>35</v>
      </c>
      <c r="G16" s="32" t="s">
        <v>36</v>
      </c>
      <c r="H16" s="32" t="s">
        <v>37</v>
      </c>
      <c r="I16" s="32" t="s">
        <v>38</v>
      </c>
      <c r="K16" s="35" t="e">
        <f ca="1">IF(K$8=0,"",INDEX($B16:$I16,MATCH(K$8,$B$8:$I$8,0)))</f>
        <v>#REF!</v>
      </c>
      <c r="L16" s="35" t="e">
        <f ca="1">IF(L$8=0,"",INDEX($B16:$I16,MATCH(L$8,$B$8:$I$8,0)))</f>
        <v>#REF!</v>
      </c>
    </row>
    <row r="17" spans="1:14" ht="15" customHeight="1">
      <c r="A17" s="31" t="s">
        <v>40</v>
      </c>
      <c r="B17" s="35" t="e">
        <f t="shared" ref="B17:I17" ca="1" si="9">INDEX(INDIRECT($N$5&amp;"E:E"),MATCH(B$4,INDIRECT($N$5&amp;"G:G"),0))</f>
        <v>#REF!</v>
      </c>
      <c r="C17" s="35" t="e">
        <f t="shared" ca="1" si="9"/>
        <v>#REF!</v>
      </c>
      <c r="D17" s="35" t="e">
        <f t="shared" ca="1" si="9"/>
        <v>#REF!</v>
      </c>
      <c r="E17" s="35" t="e">
        <f t="shared" ca="1" si="9"/>
        <v>#REF!</v>
      </c>
      <c r="F17" s="35" t="e">
        <f t="shared" ca="1" si="9"/>
        <v>#REF!</v>
      </c>
      <c r="G17" s="35" t="e">
        <f t="shared" ca="1" si="9"/>
        <v>#REF!</v>
      </c>
      <c r="H17" s="35" t="e">
        <f t="shared" ca="1" si="9"/>
        <v>#REF!</v>
      </c>
      <c r="I17" s="35" t="e">
        <f t="shared" ca="1" si="9"/>
        <v>#REF!</v>
      </c>
      <c r="J17" s="35"/>
      <c r="K17" s="35" t="e">
        <f ca="1">INDEX(INDIRECT($N$5&amp;"E:E"),MATCH(K$4,INDIRECT($N$5&amp;"G:G"),0))</f>
        <v>#REF!</v>
      </c>
      <c r="L17" s="35" t="e">
        <f ca="1">INDEX(INDIRECT($N$5&amp;"E:E"),MATCH(L$4,INDIRECT($N$5&amp;"G:G"),0))</f>
        <v>#REF!</v>
      </c>
      <c r="N17" s="32" t="e">
        <f ca="1">"Poule: "&amp;INDIRECT(N5&amp;"G5")</f>
        <v>#REF!</v>
      </c>
    </row>
    <row r="18" spans="1:14" ht="46.5" customHeight="1">
      <c r="A18" s="31" t="s">
        <v>41</v>
      </c>
      <c r="B18" s="35"/>
      <c r="C18" s="35"/>
      <c r="D18" s="35"/>
      <c r="E18" s="35"/>
      <c r="F18" s="35" t="e">
        <f ca="1">INDEX(INDIRECT($N$5&amp;"E:E"),1+MATCH(F$4,INDIRECT($N$5&amp;"G:G"),0))</f>
        <v>#REF!</v>
      </c>
      <c r="G18" s="35" t="e">
        <f ca="1">INDEX(INDIRECT($N$5&amp;"E:E"),1+MATCH(G$4,INDIRECT($N$5&amp;"G:G"),0))</f>
        <v>#REF!</v>
      </c>
      <c r="H18" s="35" t="e">
        <f ca="1">INDEX(INDIRECT($N$5&amp;"E:E"),1+MATCH(H$4,INDIRECT($N$5&amp;"G:G"),0))</f>
        <v>#REF!</v>
      </c>
      <c r="I18" s="35" t="e">
        <f ca="1">INDEX(INDIRECT($N$5&amp;"E:E"),1+MATCH(I$4,INDIRECT($N$5&amp;"G:G"),0))</f>
        <v>#REF!</v>
      </c>
      <c r="J18" s="35"/>
      <c r="K18" s="35" t="e">
        <f ca="1">IF(OR(K$8=0,LEFT(K$4,1)="S"),"",INDEX(INDIRECT($N$5&amp;"E:E"),1+MATCH(K$4,INDIRECT($N$5&amp;"G:G"),0)))</f>
        <v>#REF!</v>
      </c>
      <c r="L18" s="35" t="e">
        <f ca="1">IF(OR(L$8=0,LEFT(L$4,1)="S"),"",INDEX(INDIRECT($N$5&amp;"E:E"),1+MATCH(L$4,INDIRECT($N$5&amp;"G:G"),0)))</f>
        <v>#REF!</v>
      </c>
    </row>
    <row r="19" spans="1:14" ht="27" customHeight="1">
      <c r="A19" s="31" t="s">
        <v>42</v>
      </c>
      <c r="B19" s="35" t="e">
        <f t="shared" ref="B19:I19" ca="1" si="10">INDEX(INDIRECT($N$5&amp;"K:K"),MATCH(B$4,INDIRECT($N$5&amp;"G:G"),0))</f>
        <v>#REF!</v>
      </c>
      <c r="C19" s="35" t="e">
        <f t="shared" ca="1" si="10"/>
        <v>#REF!</v>
      </c>
      <c r="D19" s="35" t="e">
        <f t="shared" ca="1" si="10"/>
        <v>#REF!</v>
      </c>
      <c r="E19" s="35" t="e">
        <f t="shared" ca="1" si="10"/>
        <v>#REF!</v>
      </c>
      <c r="F19" s="35" t="e">
        <f t="shared" ca="1" si="10"/>
        <v>#REF!</v>
      </c>
      <c r="G19" s="35" t="e">
        <f t="shared" ca="1" si="10"/>
        <v>#REF!</v>
      </c>
      <c r="H19" s="35" t="e">
        <f t="shared" ca="1" si="10"/>
        <v>#REF!</v>
      </c>
      <c r="I19" s="35" t="e">
        <f t="shared" ca="1" si="10"/>
        <v>#REF!</v>
      </c>
      <c r="J19" s="35"/>
      <c r="K19" s="35" t="e">
        <f ca="1">INDEX(INDIRECT($N$5&amp;"K:K"),MATCH(K$4,INDIRECT($N$5&amp;"G:G"),0))</f>
        <v>#REF!</v>
      </c>
      <c r="L19" s="35" t="e">
        <f ca="1">INDEX(INDIRECT($N$5&amp;"K:K"),MATCH(L$4,INDIRECT($N$5&amp;"G:G"),0))</f>
        <v>#REF!</v>
      </c>
      <c r="N19" s="128" t="e">
        <f ca="1">INDIRECT(N5&amp;"G8")</f>
        <v>#REF!</v>
      </c>
    </row>
    <row r="20" spans="1:14" ht="27" customHeight="1">
      <c r="A20" s="31" t="s">
        <v>43</v>
      </c>
      <c r="F20" s="35" t="e">
        <f ca="1">INDEX(INDIRECT($N$5&amp;"K:K"),1+MATCH(F$4,INDIRECT($N$5&amp;"G:G"),0))</f>
        <v>#REF!</v>
      </c>
      <c r="G20" s="35" t="e">
        <f ca="1">INDEX(INDIRECT($N$5&amp;"K:K"),1+MATCH(G$4,INDIRECT($N$5&amp;"G:G"),0))</f>
        <v>#REF!</v>
      </c>
      <c r="H20" s="35" t="e">
        <f ca="1">INDEX(INDIRECT($N$5&amp;"K:K"),1+MATCH(H$4,INDIRECT($N$5&amp;"G:G"),0))</f>
        <v>#REF!</v>
      </c>
      <c r="I20" s="35" t="e">
        <f ca="1">INDEX(INDIRECT($N$5&amp;"K:K"),1+MATCH(I$4,INDIRECT($N$5&amp;"G:G"),0))</f>
        <v>#REF!</v>
      </c>
      <c r="J20" s="35"/>
      <c r="K20" s="35" t="e">
        <f ca="1">IF(OR(K$8=0,LEFT(K$4,1)="S"),"",INDEX(INDIRECT($N$5&amp;"K:K"),1+MATCH(K$4,INDIRECT($N$5&amp;"G:G"),0)))</f>
        <v>#REF!</v>
      </c>
      <c r="L20" s="35" t="e">
        <f ca="1">IF(OR(L$8=0,LEFT(L$4,1)="S"),"",INDEX(INDIRECT($N$5&amp;"K:K"),1+MATCH(L$4,INDIRECT($N$5&amp;"G:G"),0)))</f>
        <v>#REF!</v>
      </c>
    </row>
    <row r="21" spans="1:14" ht="27" customHeight="1">
      <c r="A21" s="31" t="s">
        <v>44</v>
      </c>
      <c r="B21" s="123" t="e">
        <f t="shared" ref="B21:I21" ca="1" si="11">INDEX(INDIRECT($N$5&amp;"M:M"),MATCH(B$4,INDIRECT($N$5&amp;"G:G"),0))</f>
        <v>#REF!</v>
      </c>
      <c r="C21" s="123" t="e">
        <f t="shared" ca="1" si="11"/>
        <v>#REF!</v>
      </c>
      <c r="D21" s="123" t="e">
        <f t="shared" ca="1" si="11"/>
        <v>#REF!</v>
      </c>
      <c r="E21" s="123" t="e">
        <f t="shared" ca="1" si="11"/>
        <v>#REF!</v>
      </c>
      <c r="F21" s="123" t="e">
        <f t="shared" ca="1" si="11"/>
        <v>#REF!</v>
      </c>
      <c r="G21" s="123" t="e">
        <f t="shared" ca="1" si="11"/>
        <v>#REF!</v>
      </c>
      <c r="H21" s="123" t="e">
        <f t="shared" ca="1" si="11"/>
        <v>#REF!</v>
      </c>
      <c r="I21" s="123" t="e">
        <f t="shared" ca="1" si="11"/>
        <v>#REF!</v>
      </c>
      <c r="J21" s="35"/>
      <c r="K21" s="38" t="e">
        <f ca="1">IF(K$4&lt;&gt;"",INDEX(INDIRECT($N$5&amp;"M:M"),MATCH(K$4,INDIRECT($N$5&amp;"G:G"),0)),"")</f>
        <v>#REF!</v>
      </c>
      <c r="L21" s="38" t="e">
        <f ca="1">IF(L$4&lt;&gt;"",INDEX(INDIRECT($N$5&amp;"M:M"),MATCH(L$4,INDIRECT($N$5&amp;"G:G"),0)),"")</f>
        <v>#REF!</v>
      </c>
      <c r="N21" s="32" t="s">
        <v>87</v>
      </c>
    </row>
    <row r="22" spans="1:14" ht="27" customHeight="1">
      <c r="A22" s="31" t="s">
        <v>45</v>
      </c>
      <c r="B22" s="123" t="e">
        <f t="shared" ref="B22:I22" ca="1" si="12">INDEX(INDIRECT($N$5&amp;"N:N"),1+MATCH(B$4,INDIRECT($N$5&amp;"G:G"),0))</f>
        <v>#REF!</v>
      </c>
      <c r="C22" s="123" t="e">
        <f t="shared" ca="1" si="12"/>
        <v>#REF!</v>
      </c>
      <c r="D22" s="123" t="e">
        <f t="shared" ca="1" si="12"/>
        <v>#REF!</v>
      </c>
      <c r="E22" s="123" t="e">
        <f t="shared" ca="1" si="12"/>
        <v>#REF!</v>
      </c>
      <c r="F22" s="123" t="e">
        <f t="shared" ca="1" si="12"/>
        <v>#REF!</v>
      </c>
      <c r="G22" s="123" t="e">
        <f t="shared" ca="1" si="12"/>
        <v>#REF!</v>
      </c>
      <c r="H22" s="123" t="e">
        <f t="shared" ca="1" si="12"/>
        <v>#REF!</v>
      </c>
      <c r="I22" s="123" t="e">
        <f t="shared" ca="1" si="12"/>
        <v>#REF!</v>
      </c>
      <c r="J22" s="35"/>
      <c r="K22" s="38" t="e">
        <f ca="1">IF(K$4&lt;&gt;"",INDEX(INDIRECT($N$5&amp;"N:N"),1+MATCH(K$4,INDIRECT($N$5&amp;"G:G"),0)),"")</f>
        <v>#REF!</v>
      </c>
      <c r="L22" s="38" t="e">
        <f ca="1">IF(L$4&lt;&gt;"",INDEX(INDIRECT($N$5&amp;"N:N"),1+MATCH(L$4,INDIRECT($N$5&amp;"G:G"),0)),"")</f>
        <v>#REF!</v>
      </c>
      <c r="N22" s="32" t="str">
        <f>"'["&amp;'A renseigner'!A2&amp;"]"&amp;N21&amp;"'!"</f>
        <v>'[J04260N11.xls]Match'!</v>
      </c>
    </row>
    <row r="23" spans="1:14" ht="27" customHeight="1">
      <c r="A23" s="31" t="s">
        <v>46</v>
      </c>
      <c r="B23" s="123" t="e">
        <f t="shared" ref="B23:I23" ca="1" si="13">INDEX(INDIRECT($N$5&amp;"O:O"),MATCH(B$4,INDIRECT($N$5&amp;"G:G"),0))</f>
        <v>#REF!</v>
      </c>
      <c r="C23" s="123" t="e">
        <f t="shared" ca="1" si="13"/>
        <v>#REF!</v>
      </c>
      <c r="D23" s="123" t="e">
        <f t="shared" ca="1" si="13"/>
        <v>#REF!</v>
      </c>
      <c r="E23" s="123" t="e">
        <f t="shared" ca="1" si="13"/>
        <v>#REF!</v>
      </c>
      <c r="F23" s="123" t="e">
        <f t="shared" ca="1" si="13"/>
        <v>#REF!</v>
      </c>
      <c r="G23" s="123" t="e">
        <f t="shared" ca="1" si="13"/>
        <v>#REF!</v>
      </c>
      <c r="H23" s="123" t="e">
        <f t="shared" ca="1" si="13"/>
        <v>#REF!</v>
      </c>
      <c r="I23" s="123" t="e">
        <f t="shared" ca="1" si="13"/>
        <v>#REF!</v>
      </c>
      <c r="J23" s="35"/>
      <c r="K23" s="38" t="e">
        <f ca="1">IF(K$4&lt;&gt;"",INDEX(INDIRECT($N$5&amp;"O:O"),MATCH(K$4,INDIRECT($N$5&amp;"G:G"),0)),"")</f>
        <v>#REF!</v>
      </c>
      <c r="L23" s="38" t="e">
        <f ca="1">IF(L$4&lt;&gt;"",INDEX(INDIRECT($N$5&amp;"O:O"),MATCH(L$4,INDIRECT($N$5&amp;"G:G"),0)),"")</f>
        <v>#REF!</v>
      </c>
    </row>
    <row r="24" spans="1:14" ht="27.75" customHeight="1">
      <c r="A24" s="31" t="s">
        <v>47</v>
      </c>
      <c r="B24" s="123" t="e">
        <f t="shared" ref="B24:I24" ca="1" si="14">INDEX(INDIRECT($N$5&amp;"P:P"),1+MATCH(B$4,INDIRECT($N$5&amp;"G:G"),0))</f>
        <v>#REF!</v>
      </c>
      <c r="C24" s="123" t="e">
        <f t="shared" ca="1" si="14"/>
        <v>#REF!</v>
      </c>
      <c r="D24" s="123" t="e">
        <f t="shared" ca="1" si="14"/>
        <v>#REF!</v>
      </c>
      <c r="E24" s="123" t="e">
        <f t="shared" ca="1" si="14"/>
        <v>#REF!</v>
      </c>
      <c r="F24" s="123" t="e">
        <f t="shared" ca="1" si="14"/>
        <v>#REF!</v>
      </c>
      <c r="G24" s="123" t="e">
        <f t="shared" ca="1" si="14"/>
        <v>#REF!</v>
      </c>
      <c r="H24" s="123" t="e">
        <f t="shared" ca="1" si="14"/>
        <v>#REF!</v>
      </c>
      <c r="I24" s="123" t="e">
        <f t="shared" ca="1" si="14"/>
        <v>#REF!</v>
      </c>
      <c r="J24" s="35"/>
      <c r="K24" s="38" t="e">
        <f ca="1">IF(K$4&lt;&gt;"",INDEX(INDIRECT($N$5&amp;"P:P"),1+MATCH(K$4,INDIRECT($N$5&amp;"G:G"),0)),"")</f>
        <v>#REF!</v>
      </c>
      <c r="L24" s="38" t="e">
        <f ca="1">IF(L$4&lt;&gt;"",INDEX(INDIRECT($N$5&amp;"P:P"),1+MATCH(L$4,INDIRECT($N$5&amp;"G:G"),0)),"")</f>
        <v>#REF!</v>
      </c>
    </row>
    <row r="25" spans="1:14" ht="27.75" customHeight="1">
      <c r="A25" s="31" t="s">
        <v>48</v>
      </c>
      <c r="B25" s="123" t="e">
        <f t="shared" ref="B25:I25" ca="1" si="15">INDEX(INDIRECT($N$5&amp;"Q:Q"),MATCH(B$4,INDIRECT($N$5&amp;"G:G"),0))</f>
        <v>#REF!</v>
      </c>
      <c r="C25" s="123" t="e">
        <f t="shared" ca="1" si="15"/>
        <v>#REF!</v>
      </c>
      <c r="D25" s="123" t="e">
        <f t="shared" ca="1" si="15"/>
        <v>#REF!</v>
      </c>
      <c r="E25" s="123" t="e">
        <f t="shared" ca="1" si="15"/>
        <v>#REF!</v>
      </c>
      <c r="F25" s="123" t="e">
        <f t="shared" ca="1" si="15"/>
        <v>#REF!</v>
      </c>
      <c r="G25" s="123" t="e">
        <f t="shared" ca="1" si="15"/>
        <v>#REF!</v>
      </c>
      <c r="H25" s="123" t="e">
        <f t="shared" ca="1" si="15"/>
        <v>#REF!</v>
      </c>
      <c r="I25" s="123" t="e">
        <f t="shared" ca="1" si="15"/>
        <v>#REF!</v>
      </c>
      <c r="J25" s="35"/>
      <c r="K25" s="38" t="e">
        <f ca="1">IF(K$4&lt;&gt;"",INDEX(INDIRECT($N$5&amp;"Q:Q"),MATCH(K$4,INDIRECT($N$5&amp;"G:G"),0)),"")</f>
        <v>#REF!</v>
      </c>
      <c r="L25" s="38" t="e">
        <f ca="1">IF(L$4&lt;&gt;"",INDEX(INDIRECT($N$5&amp;"Q:Q"),MATCH(L$4,INDIRECT($N$5&amp;"G:G"),0)),"")</f>
        <v>#REF!</v>
      </c>
    </row>
    <row r="26" spans="1:14">
      <c r="A26" s="31" t="s">
        <v>49</v>
      </c>
      <c r="B26" s="123" t="e">
        <f t="shared" ref="B26:I26" ca="1" si="16">INDEX(INDIRECT($N$5&amp;"R:R"),1+MATCH(B$4,INDIRECT($N$5&amp;"G:G"),0))</f>
        <v>#REF!</v>
      </c>
      <c r="C26" s="123" t="e">
        <f t="shared" ca="1" si="16"/>
        <v>#REF!</v>
      </c>
      <c r="D26" s="123" t="e">
        <f t="shared" ca="1" si="16"/>
        <v>#REF!</v>
      </c>
      <c r="E26" s="123" t="e">
        <f t="shared" ca="1" si="16"/>
        <v>#REF!</v>
      </c>
      <c r="F26" s="123" t="e">
        <f t="shared" ca="1" si="16"/>
        <v>#REF!</v>
      </c>
      <c r="G26" s="123" t="e">
        <f t="shared" ca="1" si="16"/>
        <v>#REF!</v>
      </c>
      <c r="H26" s="123" t="e">
        <f t="shared" ca="1" si="16"/>
        <v>#REF!</v>
      </c>
      <c r="I26" s="123" t="e">
        <f t="shared" ca="1" si="16"/>
        <v>#REF!</v>
      </c>
      <c r="J26" s="35"/>
      <c r="K26" s="38" t="e">
        <f ca="1">IF(K$4&lt;&gt;"",INDEX(INDIRECT($N$5&amp;"R:R"),1+MATCH(K$4,INDIRECT($N$5&amp;"G:G"),0)),"")</f>
        <v>#REF!</v>
      </c>
      <c r="L26" s="38" t="e">
        <f ca="1">IF(L$4&lt;&gt;"",INDEX(INDIRECT($N$5&amp;"R:R"),1+MATCH(L$4,INDIRECT($N$5&amp;"G:G"),0)),"")</f>
        <v>#REF!</v>
      </c>
    </row>
    <row r="27" spans="1:14">
      <c r="A27" s="31" t="s">
        <v>6</v>
      </c>
      <c r="B27" s="32" t="e">
        <f t="shared" ref="B27:I27" ca="1" si="17">IF(AND(B35=0,B36=0),B21&amp;"/"&amp;B22&amp;CHAR(10)&amp;B23&amp;"/"&amp;B24,B21&amp;"/"&amp;B22&amp;CHAR(10)&amp;B23&amp;"/"&amp;B24&amp;CHAR(10)&amp;B25&amp;"/"&amp;B26)</f>
        <v>#REF!</v>
      </c>
      <c r="C27" s="32" t="e">
        <f t="shared" ca="1" si="17"/>
        <v>#REF!</v>
      </c>
      <c r="D27" s="32" t="e">
        <f t="shared" ca="1" si="17"/>
        <v>#REF!</v>
      </c>
      <c r="E27" s="32" t="e">
        <f t="shared" ca="1" si="17"/>
        <v>#REF!</v>
      </c>
      <c r="F27" s="32" t="e">
        <f t="shared" ca="1" si="17"/>
        <v>#REF!</v>
      </c>
      <c r="G27" s="32" t="e">
        <f t="shared" ca="1" si="17"/>
        <v>#REF!</v>
      </c>
      <c r="H27" s="32" t="e">
        <f t="shared" ca="1" si="17"/>
        <v>#REF!</v>
      </c>
      <c r="I27" s="32" t="e">
        <f t="shared" ca="1" si="17"/>
        <v>#REF!</v>
      </c>
      <c r="K27" s="32" t="e">
        <f ca="1">IF(AND(K35=0,K36=0),CONCATENATE(K21,"/",K22," ",K23,"/",K24),CONCATENATE(K21,"/",K22," ",K23,"/",K24," ",K25,"/",K26))</f>
        <v>#REF!</v>
      </c>
      <c r="L27" s="32" t="e">
        <f ca="1">IF(AND(L35=0,L36=0),CONCATENATE(L21,"/",L22," ",L23,"/",L24),CONCATENATE(L21,"/",L22," ",L23,"/",L24," ",L25,"/",L26))</f>
        <v>#REF!</v>
      </c>
    </row>
    <row r="28" spans="1:14">
      <c r="A28" s="31" t="s">
        <v>54</v>
      </c>
      <c r="B28" s="32" t="e">
        <f ca="1">IF(B29,INDIRECT(Réservé!$N$5&amp;"C13"),IF(B30,INDIRECT(Réservé!$N$5&amp;"I13"),""))</f>
        <v>#REF!</v>
      </c>
      <c r="C28" s="32" t="e">
        <f ca="1">IF(C29,INDIRECT(Réservé!$N$5&amp;"C13"),IF(C30,INDIRECT(Réservé!$N$5&amp;"I13"),""))</f>
        <v>#REF!</v>
      </c>
      <c r="D28" s="32" t="e">
        <f ca="1">IF(D29,INDIRECT(Réservé!$N$5&amp;"C13"),IF(D30,INDIRECT(Réservé!$N$5&amp;"I13"),""))</f>
        <v>#REF!</v>
      </c>
      <c r="E28" s="32" t="e">
        <f ca="1">IF(E29,INDIRECT(Réservé!$N$5&amp;"C13"),IF(E30,INDIRECT(Réservé!$N$5&amp;"I13"),""))</f>
        <v>#REF!</v>
      </c>
      <c r="F28" s="32" t="e">
        <f ca="1">IF(F29,INDIRECT(Réservé!$N$5&amp;"C13"),IF(F30,INDIRECT(Réservé!$N$5&amp;"I13"),""))</f>
        <v>#REF!</v>
      </c>
      <c r="G28" s="32" t="e">
        <f ca="1">IF(G29,INDIRECT(Réservé!$N$5&amp;"C13"),IF(G30,INDIRECT(Réservé!$N$5&amp;"I13"),""))</f>
        <v>#REF!</v>
      </c>
      <c r="H28" s="32" t="e">
        <f ca="1">IF(H29,INDIRECT(Réservé!$N$5&amp;"C13"),IF(H30,INDIRECT(Réservé!$N$5&amp;"I13"),""))</f>
        <v>#REF!</v>
      </c>
      <c r="I28" s="32" t="e">
        <f ca="1">IF(I29,INDIRECT(Réservé!$N$5&amp;"C13"),IF(I30,INDIRECT(Réservé!$N$5&amp;"I13"),""))</f>
        <v>#REF!</v>
      </c>
      <c r="K28" s="32" t="e">
        <f ca="1">IF(K29,INDIRECT(Réservé!$N$5&amp;"C13"),IF(K30,INDIRECT(Réservé!$N$5&amp;"I13"),""))</f>
        <v>#REF!</v>
      </c>
      <c r="L28" s="32" t="e">
        <f ca="1">IF(L29,INDIRECT(Réservé!$N$5&amp;"C13"),IF(L30,INDIRECT(Réservé!$N$5&amp;"I13"),""))</f>
        <v>#REF!</v>
      </c>
    </row>
    <row r="29" spans="1:14">
      <c r="A29" s="31" t="s">
        <v>66</v>
      </c>
      <c r="B29" s="32" t="e">
        <f t="shared" ref="B29:I29" ca="1" si="18">IF(OR(B39,B40,SUM(B31,B33,B35)=2),1,0)</f>
        <v>#REF!</v>
      </c>
      <c r="C29" s="32" t="e">
        <f t="shared" ca="1" si="18"/>
        <v>#REF!</v>
      </c>
      <c r="D29" s="32" t="e">
        <f t="shared" ca="1" si="18"/>
        <v>#REF!</v>
      </c>
      <c r="E29" s="32" t="e">
        <f t="shared" ca="1" si="18"/>
        <v>#REF!</v>
      </c>
      <c r="F29" s="32" t="e">
        <f t="shared" ca="1" si="18"/>
        <v>#REF!</v>
      </c>
      <c r="G29" s="32" t="e">
        <f t="shared" ca="1" si="18"/>
        <v>#REF!</v>
      </c>
      <c r="H29" s="32" t="e">
        <f t="shared" ca="1" si="18"/>
        <v>#REF!</v>
      </c>
      <c r="I29" s="32" t="e">
        <f t="shared" ca="1" si="18"/>
        <v>#REF!</v>
      </c>
      <c r="K29" s="32" t="e">
        <f ca="1">IF(SUM(K31,K33,K35)=2,1,0)</f>
        <v>#REF!</v>
      </c>
      <c r="L29" s="32" t="e">
        <f ca="1">IF(SUM(L31,L33,L35)=2,1,0)</f>
        <v>#REF!</v>
      </c>
    </row>
    <row r="30" spans="1:14">
      <c r="A30" s="31" t="s">
        <v>67</v>
      </c>
      <c r="B30" s="32" t="e">
        <f t="shared" ref="B30:I30" ca="1" si="19">IF(OR(B37,B38,SUM(B32,B34,B36)=2),1,0)</f>
        <v>#REF!</v>
      </c>
      <c r="C30" s="32" t="e">
        <f t="shared" ca="1" si="19"/>
        <v>#REF!</v>
      </c>
      <c r="D30" s="32" t="e">
        <f t="shared" ca="1" si="19"/>
        <v>#REF!</v>
      </c>
      <c r="E30" s="32" t="e">
        <f t="shared" ca="1" si="19"/>
        <v>#REF!</v>
      </c>
      <c r="F30" s="32" t="e">
        <f t="shared" ca="1" si="19"/>
        <v>#REF!</v>
      </c>
      <c r="G30" s="32" t="e">
        <f t="shared" ca="1" si="19"/>
        <v>#REF!</v>
      </c>
      <c r="H30" s="32" t="e">
        <f t="shared" ca="1" si="19"/>
        <v>#REF!</v>
      </c>
      <c r="I30" s="32" t="e">
        <f t="shared" ca="1" si="19"/>
        <v>#REF!</v>
      </c>
      <c r="K30" s="32" t="e">
        <f ca="1">IF(SUM(K32,K34,K36)=2,1,0)</f>
        <v>#REF!</v>
      </c>
      <c r="L30" s="32" t="e">
        <f ca="1">IF(SUM(L32,L34,L36)=2,1,0)</f>
        <v>#REF!</v>
      </c>
    </row>
    <row r="31" spans="1:14">
      <c r="A31" s="31" t="s">
        <v>68</v>
      </c>
      <c r="B31" s="32" t="e">
        <f t="shared" ref="B31:I31" ca="1" si="20">IF(OR(AND(B21=21,B21-B22&gt;0),AND(B21&gt;21,B21-B22=2)),1,0)</f>
        <v>#REF!</v>
      </c>
      <c r="C31" s="32" t="e">
        <f t="shared" ca="1" si="20"/>
        <v>#REF!</v>
      </c>
      <c r="D31" s="32" t="e">
        <f t="shared" ca="1" si="20"/>
        <v>#REF!</v>
      </c>
      <c r="E31" s="32" t="e">
        <f t="shared" ca="1" si="20"/>
        <v>#REF!</v>
      </c>
      <c r="F31" s="32" t="e">
        <f t="shared" ca="1" si="20"/>
        <v>#REF!</v>
      </c>
      <c r="G31" s="32" t="e">
        <f t="shared" ca="1" si="20"/>
        <v>#REF!</v>
      </c>
      <c r="H31" s="32" t="e">
        <f t="shared" ca="1" si="20"/>
        <v>#REF!</v>
      </c>
      <c r="I31" s="32" t="e">
        <f t="shared" ca="1" si="20"/>
        <v>#REF!</v>
      </c>
      <c r="K31" s="32" t="e">
        <f ca="1">IF(OR(AND(K21=21,K21-K22&gt;0),AND(K21&gt;21,K21-K22=2)),1,0)</f>
        <v>#REF!</v>
      </c>
      <c r="L31" s="32" t="e">
        <f ca="1">IF(OR(AND(L21=21,L21-L22&gt;0),AND(L21&gt;21,L21-L22=2)),1,0)</f>
        <v>#REF!</v>
      </c>
    </row>
    <row r="32" spans="1:14">
      <c r="A32" s="31" t="s">
        <v>69</v>
      </c>
      <c r="B32" s="32" t="e">
        <f t="shared" ref="B32:I32" ca="1" si="21">IF(OR(AND(B22=21,B22-B21&gt;0),AND(B22&gt;21,B22-B21=2)),1,0)</f>
        <v>#REF!</v>
      </c>
      <c r="C32" s="32" t="e">
        <f t="shared" ca="1" si="21"/>
        <v>#REF!</v>
      </c>
      <c r="D32" s="32" t="e">
        <f t="shared" ca="1" si="21"/>
        <v>#REF!</v>
      </c>
      <c r="E32" s="32" t="e">
        <f t="shared" ca="1" si="21"/>
        <v>#REF!</v>
      </c>
      <c r="F32" s="32" t="e">
        <f t="shared" ca="1" si="21"/>
        <v>#REF!</v>
      </c>
      <c r="G32" s="32" t="e">
        <f t="shared" ca="1" si="21"/>
        <v>#REF!</v>
      </c>
      <c r="H32" s="32" t="e">
        <f t="shared" ca="1" si="21"/>
        <v>#REF!</v>
      </c>
      <c r="I32" s="32" t="e">
        <f t="shared" ca="1" si="21"/>
        <v>#REF!</v>
      </c>
      <c r="K32" s="32" t="e">
        <f ca="1">IF(OR(AND(K22=21,K22-K21&gt;0),AND(K22&gt;21,K22-K21=2)),1,0)</f>
        <v>#REF!</v>
      </c>
      <c r="L32" s="32" t="e">
        <f ca="1">IF(OR(AND(L22=21,L22-L21&gt;0),AND(L22&gt;21,L22-L21=2)),1,0)</f>
        <v>#REF!</v>
      </c>
    </row>
    <row r="33" spans="1:12">
      <c r="A33" s="31" t="s">
        <v>70</v>
      </c>
      <c r="B33" s="32" t="e">
        <f t="shared" ref="B33:I33" ca="1" si="22">IF(OR(AND(B23=21,B23-B24&gt;0),AND(B23&gt;21,B23-B24=2)),1,0)</f>
        <v>#REF!</v>
      </c>
      <c r="C33" s="32" t="e">
        <f t="shared" ca="1" si="22"/>
        <v>#REF!</v>
      </c>
      <c r="D33" s="32" t="e">
        <f t="shared" ca="1" si="22"/>
        <v>#REF!</v>
      </c>
      <c r="E33" s="32" t="e">
        <f t="shared" ca="1" si="22"/>
        <v>#REF!</v>
      </c>
      <c r="F33" s="32" t="e">
        <f t="shared" ca="1" si="22"/>
        <v>#REF!</v>
      </c>
      <c r="G33" s="32" t="e">
        <f t="shared" ca="1" si="22"/>
        <v>#REF!</v>
      </c>
      <c r="H33" s="32" t="e">
        <f t="shared" ca="1" si="22"/>
        <v>#REF!</v>
      </c>
      <c r="I33" s="32" t="e">
        <f t="shared" ca="1" si="22"/>
        <v>#REF!</v>
      </c>
      <c r="K33" s="32" t="e">
        <f ca="1">IF(OR(AND(K23=21,K23-K24&gt;0),AND(K23&gt;21,K23-K24=2)),1,0)</f>
        <v>#REF!</v>
      </c>
      <c r="L33" s="32" t="e">
        <f ca="1">IF(OR(AND(L23=21,L23-L24&gt;0),AND(L23&gt;21,L23-L24=2)),1,0)</f>
        <v>#REF!</v>
      </c>
    </row>
    <row r="34" spans="1:12">
      <c r="A34" s="31" t="s">
        <v>71</v>
      </c>
      <c r="B34" s="32" t="e">
        <f t="shared" ref="B34:I34" ca="1" si="23">IF(OR(AND(B24=21,B24-B23&gt;0),AND(B24&gt;21,B24-B23=2)),1,0)</f>
        <v>#REF!</v>
      </c>
      <c r="C34" s="32" t="e">
        <f t="shared" ca="1" si="23"/>
        <v>#REF!</v>
      </c>
      <c r="D34" s="32" t="e">
        <f t="shared" ca="1" si="23"/>
        <v>#REF!</v>
      </c>
      <c r="E34" s="32" t="e">
        <f t="shared" ca="1" si="23"/>
        <v>#REF!</v>
      </c>
      <c r="F34" s="32" t="e">
        <f t="shared" ca="1" si="23"/>
        <v>#REF!</v>
      </c>
      <c r="G34" s="32" t="e">
        <f t="shared" ca="1" si="23"/>
        <v>#REF!</v>
      </c>
      <c r="H34" s="32" t="e">
        <f t="shared" ca="1" si="23"/>
        <v>#REF!</v>
      </c>
      <c r="I34" s="32" t="e">
        <f t="shared" ca="1" si="23"/>
        <v>#REF!</v>
      </c>
      <c r="K34" s="32" t="e">
        <f ca="1">IF(OR(AND(K24=21,K24-K23&gt;0),AND(K24&gt;21,K24-K23=2)),1,0)</f>
        <v>#REF!</v>
      </c>
      <c r="L34" s="32" t="e">
        <f ca="1">IF(OR(AND(L24=21,L24-L23&gt;0),AND(L24&gt;21,L24-L23=2)),1,0)</f>
        <v>#REF!</v>
      </c>
    </row>
    <row r="35" spans="1:12">
      <c r="A35" s="31" t="s">
        <v>72</v>
      </c>
      <c r="B35" s="32" t="e">
        <f t="shared" ref="B35:I35" ca="1" si="24">IF(OR(AND(B25=21,B25-B26&gt;0),AND(B25&gt;21,B25-B26=2)),1,0)</f>
        <v>#REF!</v>
      </c>
      <c r="C35" s="32" t="e">
        <f t="shared" ca="1" si="24"/>
        <v>#REF!</v>
      </c>
      <c r="D35" s="32" t="e">
        <f t="shared" ca="1" si="24"/>
        <v>#REF!</v>
      </c>
      <c r="E35" s="32" t="e">
        <f t="shared" ca="1" si="24"/>
        <v>#REF!</v>
      </c>
      <c r="F35" s="32" t="e">
        <f t="shared" ca="1" si="24"/>
        <v>#REF!</v>
      </c>
      <c r="G35" s="32" t="e">
        <f t="shared" ca="1" si="24"/>
        <v>#REF!</v>
      </c>
      <c r="H35" s="32" t="e">
        <f t="shared" ca="1" si="24"/>
        <v>#REF!</v>
      </c>
      <c r="I35" s="32" t="e">
        <f t="shared" ca="1" si="24"/>
        <v>#REF!</v>
      </c>
      <c r="K35" s="32" t="e">
        <f ca="1">IF(OR(AND(K25=21,K25-K26&gt;0),AND(K25&gt;21,K25-K26=2)),1,0)</f>
        <v>#REF!</v>
      </c>
      <c r="L35" s="32" t="e">
        <f ca="1">IF(OR(AND(L25=21,L25-L26&gt;0),AND(L25&gt;21,L25-L26=2)),1,0)</f>
        <v>#REF!</v>
      </c>
    </row>
    <row r="36" spans="1:12">
      <c r="A36" s="31" t="s">
        <v>73</v>
      </c>
      <c r="B36" s="32" t="e">
        <f t="shared" ref="B36:I36" ca="1" si="25">IF(OR(AND(B26=21,B26-B25&gt;0),AND(B26&gt;21,B26-B25=2)),1,0)</f>
        <v>#REF!</v>
      </c>
      <c r="C36" s="32" t="e">
        <f t="shared" ca="1" si="25"/>
        <v>#REF!</v>
      </c>
      <c r="D36" s="32" t="e">
        <f t="shared" ca="1" si="25"/>
        <v>#REF!</v>
      </c>
      <c r="E36" s="32" t="e">
        <f t="shared" ca="1" si="25"/>
        <v>#REF!</v>
      </c>
      <c r="F36" s="32" t="e">
        <f t="shared" ca="1" si="25"/>
        <v>#REF!</v>
      </c>
      <c r="G36" s="32" t="e">
        <f t="shared" ca="1" si="25"/>
        <v>#REF!</v>
      </c>
      <c r="H36" s="32" t="e">
        <f t="shared" ca="1" si="25"/>
        <v>#REF!</v>
      </c>
      <c r="I36" s="32" t="e">
        <f t="shared" ca="1" si="25"/>
        <v>#REF!</v>
      </c>
      <c r="K36" s="32" t="e">
        <f ca="1">IF(OR(AND(K26=21,K26-K25&gt;0),AND(K26&gt;21,K26-K25=2)),1,0)</f>
        <v>#REF!</v>
      </c>
      <c r="L36" s="32" t="e">
        <f ca="1">IF(OR(AND(L26=21,L26-L25&gt;0),AND(L26&gt;21,L26-L25=2)),1,0)</f>
        <v>#REF!</v>
      </c>
    </row>
    <row r="37" spans="1:12">
      <c r="A37" s="31" t="s">
        <v>74</v>
      </c>
      <c r="B37" s="32" t="e">
        <f ca="1">INDIRECT("'["&amp;'A renseigner'!$A$2&amp;"]Table'!A8")</f>
        <v>#REF!</v>
      </c>
      <c r="C37" s="32" t="e">
        <f ca="1">INDIRECT("'["&amp;'A renseigner'!$A$2&amp;"]Table'!A9")</f>
        <v>#REF!</v>
      </c>
      <c r="D37" s="32" t="e">
        <f ca="1">INDIRECT("'["&amp;'A renseigner'!$A$2&amp;"]Table'!A10")</f>
        <v>#REF!</v>
      </c>
      <c r="E37" s="32" t="e">
        <f ca="1">INDIRECT("'["&amp;'A renseigner'!$A$2&amp;"]Table'!A11")</f>
        <v>#REF!</v>
      </c>
      <c r="F37" s="32" t="e">
        <f ca="1">INDIRECT("'["&amp;'A renseigner'!$A$2&amp;"]Table'!A12")</f>
        <v>#REF!</v>
      </c>
      <c r="G37" s="32" t="e">
        <f ca="1">INDIRECT("'["&amp;'A renseigner'!$A$2&amp;"]Table'!A13")</f>
        <v>#REF!</v>
      </c>
      <c r="H37" s="32" t="e">
        <f ca="1">INDIRECT("'["&amp;'A renseigner'!$A$2&amp;"]Table'!A14")</f>
        <v>#REF!</v>
      </c>
      <c r="I37" s="32" t="e">
        <f ca="1">INDIRECT("'["&amp;'A renseigner'!$A$2&amp;"]Table'!A15")</f>
        <v>#REF!</v>
      </c>
    </row>
    <row r="38" spans="1:12">
      <c r="A38" s="31" t="s">
        <v>75</v>
      </c>
      <c r="B38" s="32" t="e">
        <f ca="1">INDIRECT("'["&amp;'A renseigner'!$A$2&amp;"]Table'!B8")</f>
        <v>#REF!</v>
      </c>
      <c r="C38" s="32" t="e">
        <f ca="1">INDIRECT("'["&amp;'A renseigner'!$A$2&amp;"]Table'!B9")</f>
        <v>#REF!</v>
      </c>
      <c r="D38" s="32" t="e">
        <f ca="1">INDIRECT("'["&amp;'A renseigner'!$A$2&amp;"]Table'!B10")</f>
        <v>#REF!</v>
      </c>
      <c r="E38" s="32" t="e">
        <f ca="1">INDIRECT("'["&amp;'A renseigner'!$A$2&amp;"]Table'!B11")</f>
        <v>#REF!</v>
      </c>
      <c r="F38" s="32" t="e">
        <f ca="1">INDIRECT("'["&amp;'A renseigner'!$A$2&amp;"]Table'!B12")</f>
        <v>#REF!</v>
      </c>
      <c r="G38" s="32" t="e">
        <f ca="1">INDIRECT("'["&amp;'A renseigner'!$A$2&amp;"]Table'!B13")</f>
        <v>#REF!</v>
      </c>
      <c r="H38" s="32" t="e">
        <f ca="1">INDIRECT("'["&amp;'A renseigner'!$A$2&amp;"]Table'!B14")</f>
        <v>#REF!</v>
      </c>
      <c r="I38" s="32" t="e">
        <f ca="1">INDIRECT("'["&amp;'A renseigner'!$A$2&amp;"]Table'!B15")</f>
        <v>#REF!</v>
      </c>
    </row>
    <row r="39" spans="1:12" ht="24">
      <c r="A39" s="31" t="s">
        <v>76</v>
      </c>
      <c r="B39" s="32" t="e">
        <f ca="1">INDIRECT("'["&amp;'A renseigner'!$A$2&amp;"]Table'!C8")</f>
        <v>#REF!</v>
      </c>
      <c r="C39" s="32" t="e">
        <f ca="1">INDIRECT("'["&amp;'A renseigner'!$A$2&amp;"]Table'!C9")</f>
        <v>#REF!</v>
      </c>
      <c r="D39" s="32" t="e">
        <f ca="1">INDIRECT("'["&amp;'A renseigner'!$A$2&amp;"]Table'!C10")</f>
        <v>#REF!</v>
      </c>
      <c r="E39" s="32" t="e">
        <f ca="1">INDIRECT("'["&amp;'A renseigner'!$A$2&amp;"]Table'!C11")</f>
        <v>#REF!</v>
      </c>
      <c r="F39" s="32" t="e">
        <f ca="1">INDIRECT("'["&amp;'A renseigner'!$A$2&amp;"]Table'!C12")</f>
        <v>#REF!</v>
      </c>
      <c r="G39" s="32" t="e">
        <f ca="1">INDIRECT("'["&amp;'A renseigner'!$A$2&amp;"]Table'!C13")</f>
        <v>#REF!</v>
      </c>
      <c r="H39" s="32" t="e">
        <f ca="1">INDIRECT("'["&amp;'A renseigner'!$A$2&amp;"]Table'!C14")</f>
        <v>#REF!</v>
      </c>
      <c r="I39" s="32" t="e">
        <f ca="1">INDIRECT("'["&amp;'A renseigner'!$A$2&amp;"]Table'!C15")</f>
        <v>#REF!</v>
      </c>
      <c r="J39" s="31" t="str">
        <f>"A"&amp;CHAR(13)&amp;CHAR(10)&amp;"B"</f>
        <v>A_x000D_
B</v>
      </c>
    </row>
    <row r="40" spans="1:12">
      <c r="A40" s="31" t="s">
        <v>77</v>
      </c>
      <c r="B40" s="32" t="e">
        <f ca="1">INDIRECT("'["&amp;'A renseigner'!$A$2&amp;"]Table'!D8")</f>
        <v>#REF!</v>
      </c>
      <c r="C40" s="32" t="e">
        <f ca="1">INDIRECT("'["&amp;'A renseigner'!$A$2&amp;"]Table'!D9")</f>
        <v>#REF!</v>
      </c>
      <c r="D40" s="32" t="e">
        <f ca="1">INDIRECT("'["&amp;'A renseigner'!$A$2&amp;"]Table'!D10")</f>
        <v>#REF!</v>
      </c>
      <c r="E40" s="32" t="e">
        <f ca="1">INDIRECT("'["&amp;'A renseigner'!$A$2&amp;"]Table'!D11")</f>
        <v>#REF!</v>
      </c>
      <c r="F40" s="32" t="e">
        <f ca="1">INDIRECT("'["&amp;'A renseigner'!$A$2&amp;"]Table'!D12")</f>
        <v>#REF!</v>
      </c>
      <c r="G40" s="32" t="e">
        <f ca="1">INDIRECT("'["&amp;'A renseigner'!$A$2&amp;"]Table'!D13")</f>
        <v>#REF!</v>
      </c>
      <c r="H40" s="32" t="e">
        <f ca="1">INDIRECT("'["&amp;'A renseigner'!$A$2&amp;"]Table'!D14")</f>
        <v>#REF!</v>
      </c>
      <c r="I40" s="32" t="e">
        <f ca="1">INDIRECT("'["&amp;'A renseigner'!$A$2&amp;"]Table'!D15")</f>
        <v>#REF!</v>
      </c>
    </row>
    <row r="41" spans="1:12">
      <c r="A41" s="31" t="s">
        <v>85</v>
      </c>
      <c r="B41" s="32" t="e">
        <f ca="1">B9&amp;IF(ISBLANK(B10),"",CHAR(10)&amp;B10)</f>
        <v>#REF!</v>
      </c>
      <c r="C41" s="32" t="e">
        <f t="shared" ref="C41:I41" ca="1" si="26">C9&amp;IF(ISBLANK(C10),"",CHAR(10)&amp;C10)</f>
        <v>#REF!</v>
      </c>
      <c r="D41" s="32" t="e">
        <f t="shared" ca="1" si="26"/>
        <v>#REF!</v>
      </c>
      <c r="E41" s="32" t="e">
        <f t="shared" ca="1" si="26"/>
        <v>#REF!</v>
      </c>
      <c r="F41" s="32" t="e">
        <f t="shared" ca="1" si="26"/>
        <v>#REF!</v>
      </c>
      <c r="G41" s="32" t="e">
        <f t="shared" ca="1" si="26"/>
        <v>#REF!</v>
      </c>
      <c r="H41" s="32" t="e">
        <f t="shared" ca="1" si="26"/>
        <v>#REF!</v>
      </c>
      <c r="I41" s="32" t="e">
        <f t="shared" ca="1" si="26"/>
        <v>#REF!</v>
      </c>
    </row>
    <row r="42" spans="1:12">
      <c r="A42" s="31" t="s">
        <v>86</v>
      </c>
      <c r="B42" s="32" t="e">
        <f ca="1">B11&amp;IF(ISBLANK(B12),"",CHAR(10)&amp;B12)</f>
        <v>#REF!</v>
      </c>
      <c r="C42" s="32" t="e">
        <f t="shared" ref="C42:I42" ca="1" si="27">C11&amp;IF(ISBLANK(C12),"",CHAR(10)&amp;C12)</f>
        <v>#REF!</v>
      </c>
      <c r="D42" s="32" t="e">
        <f t="shared" ca="1" si="27"/>
        <v>#REF!</v>
      </c>
      <c r="E42" s="32" t="e">
        <f t="shared" ca="1" si="27"/>
        <v>#REF!</v>
      </c>
      <c r="F42" s="32" t="e">
        <f t="shared" ca="1" si="27"/>
        <v>#REF!</v>
      </c>
      <c r="G42" s="32" t="e">
        <f t="shared" ca="1" si="27"/>
        <v>#REF!</v>
      </c>
      <c r="H42" s="32" t="e">
        <f t="shared" ca="1" si="27"/>
        <v>#REF!</v>
      </c>
      <c r="I42" s="32" t="e">
        <f t="shared" ca="1" si="27"/>
        <v>#REF!</v>
      </c>
    </row>
    <row r="44" spans="1:12">
      <c r="G44" s="40"/>
      <c r="H44" s="31"/>
    </row>
  </sheetData>
  <pageMargins left="0.70866141732283472" right="0.11811023622047245" top="0" bottom="0" header="0" footer="0.39370078740157483"/>
  <pageSetup paperSize="9" scale="63" orientation="landscape" r:id="rId1"/>
  <headerFooter>
    <oddFooter>Page &amp;P de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U34"/>
  <sheetViews>
    <sheetView zoomScale="85" zoomScaleNormal="85" workbookViewId="0">
      <selection activeCell="N47" sqref="N47"/>
    </sheetView>
  </sheetViews>
  <sheetFormatPr baseColWidth="10" defaultRowHeight="11.25"/>
  <cols>
    <col min="1" max="1" width="14.140625" style="46" customWidth="1"/>
    <col min="2" max="5" width="3.5703125" style="46" customWidth="1"/>
    <col min="6" max="7" width="3" style="46" customWidth="1"/>
    <col min="8" max="9" width="4.140625" style="46" customWidth="1"/>
    <col min="10" max="10" width="15.5703125" style="46" customWidth="1"/>
    <col min="11" max="11" width="6.42578125" style="46" customWidth="1"/>
    <col min="12" max="12" width="1.5703125" style="46" customWidth="1"/>
    <col min="13" max="13" width="8" style="46" customWidth="1"/>
    <col min="14" max="14" width="8.140625" style="46" customWidth="1"/>
    <col min="15" max="15" width="9.5703125" style="46" customWidth="1"/>
    <col min="16" max="16" width="15.5703125" style="46" customWidth="1"/>
    <col min="17" max="17" width="6.42578125" style="46" customWidth="1"/>
    <col min="18" max="18" width="8" style="46" customWidth="1"/>
    <col min="19" max="19" width="8.140625" style="46" customWidth="1"/>
    <col min="20" max="20" width="28" style="46" customWidth="1"/>
    <col min="21" max="21" width="14.140625" style="46" customWidth="1"/>
    <col min="22" max="22" width="18.7109375" style="46" customWidth="1"/>
    <col min="23" max="16384" width="11.42578125" style="46"/>
  </cols>
  <sheetData>
    <row r="1" spans="1:20">
      <c r="A1" s="57"/>
      <c r="B1" s="58" t="s">
        <v>10</v>
      </c>
      <c r="C1" s="58" t="s">
        <v>11</v>
      </c>
      <c r="D1" s="58" t="s">
        <v>12</v>
      </c>
      <c r="E1" s="58" t="s">
        <v>13</v>
      </c>
      <c r="F1" s="58" t="s">
        <v>4</v>
      </c>
      <c r="G1" s="58" t="s">
        <v>5</v>
      </c>
      <c r="H1" s="58" t="s">
        <v>18</v>
      </c>
      <c r="I1" s="59" t="s">
        <v>19</v>
      </c>
      <c r="L1" s="107"/>
      <c r="M1" s="110" t="s">
        <v>80</v>
      </c>
      <c r="N1" s="110" t="s">
        <v>81</v>
      </c>
      <c r="O1" s="46" t="s">
        <v>55</v>
      </c>
      <c r="P1" s="45" t="s">
        <v>58</v>
      </c>
      <c r="Q1" s="45"/>
      <c r="R1" s="45"/>
      <c r="S1" s="45" t="s">
        <v>56</v>
      </c>
      <c r="T1" s="46" t="s">
        <v>57</v>
      </c>
    </row>
    <row r="2" spans="1:20">
      <c r="A2" s="60" t="s">
        <v>10</v>
      </c>
      <c r="B2" s="52"/>
      <c r="C2" s="52">
        <f t="shared" ref="C2:I2" ca="1" si="0">SUMPRODUCT(C$11:C$34,$B$11:$B$34)</f>
        <v>1</v>
      </c>
      <c r="D2" s="52">
        <f t="shared" ca="1" si="0"/>
        <v>1</v>
      </c>
      <c r="E2" s="52">
        <f t="shared" ca="1" si="0"/>
        <v>1</v>
      </c>
      <c r="F2" s="52">
        <f t="shared" ca="1" si="0"/>
        <v>1</v>
      </c>
      <c r="G2" s="52">
        <f t="shared" ca="1" si="0"/>
        <v>1</v>
      </c>
      <c r="H2" s="52">
        <f t="shared" ca="1" si="0"/>
        <v>1</v>
      </c>
      <c r="I2" s="61">
        <f t="shared" ca="1" si="0"/>
        <v>1</v>
      </c>
      <c r="J2" s="46" t="s">
        <v>53</v>
      </c>
      <c r="L2" s="107"/>
      <c r="M2" s="110" t="s">
        <v>4</v>
      </c>
      <c r="N2" s="110" t="s">
        <v>10</v>
      </c>
      <c r="O2" s="46" t="str">
        <f t="shared" ref="O2:O17" si="1">M2&amp;"-"&amp;N2&amp;"-1"</f>
        <v>DH-SH1-1</v>
      </c>
      <c r="P2" s="46" t="e">
        <f t="array" aca="1" ref="P2" ca="1">INDEX(A$11:A$34,MATCH(1,IF(INDEX($B$11:$I$34,0,MATCH(M2,$B$1:$I$1,0))=1,INDEX($B$11:$I$34,0,MATCH(N2,$B$1:$I$1,0)),0),0))</f>
        <v>#REF!</v>
      </c>
      <c r="Q2" s="46" t="e">
        <f ca="1">INDEX(K:K,MATCH(P2,J:J,0))</f>
        <v>#REF!</v>
      </c>
      <c r="S2" s="46" t="str">
        <f t="shared" ref="S2:S17" si="2">LEFT(O2,LEN(O2)-2)</f>
        <v>DH-SH1</v>
      </c>
      <c r="T2" s="46" t="e">
        <f ca="1">IF(ISNA($P2),"",$P2)&amp;IF(ISNA($P18),""," "&amp;$P18)</f>
        <v>#REF!</v>
      </c>
    </row>
    <row r="3" spans="1:20">
      <c r="A3" s="60" t="s">
        <v>11</v>
      </c>
      <c r="B3" s="52">
        <f ca="1">SUMPRODUCT(B$11:B$34,$C$11:$C$34)</f>
        <v>1</v>
      </c>
      <c r="C3" s="52"/>
      <c r="D3" s="52">
        <f t="shared" ref="D3:I3" ca="1" si="3">SUMPRODUCT(D$11:D$34,$C$11:$C$34)</f>
        <v>1</v>
      </c>
      <c r="E3" s="52">
        <f t="shared" ca="1" si="3"/>
        <v>1</v>
      </c>
      <c r="F3" s="52">
        <f t="shared" ca="1" si="3"/>
        <v>1</v>
      </c>
      <c r="G3" s="52">
        <f t="shared" ca="1" si="3"/>
        <v>1</v>
      </c>
      <c r="H3" s="52">
        <f t="shared" ca="1" si="3"/>
        <v>1</v>
      </c>
      <c r="I3" s="61">
        <f t="shared" ca="1" si="3"/>
        <v>1</v>
      </c>
      <c r="J3" s="47" t="e">
        <f ca="1">Réservé!B9</f>
        <v>#REF!</v>
      </c>
      <c r="K3" s="47" t="s">
        <v>82</v>
      </c>
      <c r="L3" s="108"/>
      <c r="M3" s="110" t="s">
        <v>4</v>
      </c>
      <c r="N3" s="111" t="s">
        <v>11</v>
      </c>
      <c r="O3" s="46" t="str">
        <f t="shared" si="1"/>
        <v>DH-SH2-1</v>
      </c>
      <c r="P3" s="46" t="e">
        <f t="array" aca="1" ref="P3" ca="1">INDEX(A$11:A$34,MATCH(1,IF(INDEX($B$11:$I$34,0,MATCH(M3,$B$1:$I$1,0))=1,INDEX($B$11:$I$34,0,MATCH(N3,$B$1:$I$1,0)),0),0))</f>
        <v>#REF!</v>
      </c>
      <c r="Q3" s="46" t="e">
        <f t="shared" ref="Q3:Q33" ca="1" si="4">INDEX(K:K,MATCH(P3,J:J,0))</f>
        <v>#REF!</v>
      </c>
      <c r="S3" s="46" t="str">
        <f t="shared" si="2"/>
        <v>DH-SH2</v>
      </c>
      <c r="T3" s="46" t="e">
        <f t="shared" ref="T3:T17" ca="1" si="5">IF(ISNA($P3),"",$P3)&amp;IF(ISNA($P19),""," "&amp;$P19)</f>
        <v>#REF!</v>
      </c>
    </row>
    <row r="4" spans="1:20">
      <c r="A4" s="60" t="s">
        <v>12</v>
      </c>
      <c r="B4" s="52">
        <f ca="1">SUMPRODUCT(B$11:B$34,$D$11:$D$34)</f>
        <v>1</v>
      </c>
      <c r="C4" s="52">
        <f ca="1">SUMPRODUCT(C$11:C$34,$D$11:$D$34)</f>
        <v>1</v>
      </c>
      <c r="D4" s="52"/>
      <c r="E4" s="52">
        <f ca="1">SUMPRODUCT(E$11:E$34,$D$11:$D$34)</f>
        <v>1</v>
      </c>
      <c r="F4" s="52">
        <f ca="1">SUMPRODUCT(F$11:F$34,$D$11:$D$34)</f>
        <v>1</v>
      </c>
      <c r="G4" s="52">
        <f ca="1">SUMPRODUCT(G$11:G$34,$D$11:$D$34)</f>
        <v>1</v>
      </c>
      <c r="H4" s="52">
        <f ca="1">SUMPRODUCT(H$11:H$34,$D$11:$D$34)</f>
        <v>1</v>
      </c>
      <c r="I4" s="61">
        <f ca="1">SUMPRODUCT(I$11:I$34,$D$11:$D$34)</f>
        <v>1</v>
      </c>
      <c r="J4" s="47" t="e">
        <f ca="1">Réservé!B11</f>
        <v>#REF!</v>
      </c>
      <c r="K4" s="47" t="s">
        <v>83</v>
      </c>
      <c r="L4" s="108"/>
      <c r="M4" s="110" t="s">
        <v>4</v>
      </c>
      <c r="N4" s="111" t="s">
        <v>18</v>
      </c>
      <c r="O4" s="46" t="str">
        <f t="shared" si="1"/>
        <v>DH-DM1-1</v>
      </c>
      <c r="P4" s="46" t="e">
        <f t="array" aca="1" ref="P4" ca="1">INDEX(A$11:A$34,MATCH(1,IF(INDEX($B$11:$I$34,0,MATCH(M4,$B$1:$I$1,0))=1,INDEX($B$11:$I$34,0,MATCH(N4,$B$1:$I$1,0)),0),0))</f>
        <v>#REF!</v>
      </c>
      <c r="Q4" s="46" t="e">
        <f t="shared" ca="1" si="4"/>
        <v>#REF!</v>
      </c>
      <c r="S4" s="46" t="str">
        <f t="shared" si="2"/>
        <v>DH-DM1</v>
      </c>
      <c r="T4" s="46" t="e">
        <f t="shared" ca="1" si="5"/>
        <v>#REF!</v>
      </c>
    </row>
    <row r="5" spans="1:20">
      <c r="A5" s="60" t="s">
        <v>13</v>
      </c>
      <c r="B5" s="52">
        <f ca="1">SUMPRODUCT(B$11:B$34,$E$11:$E$34)</f>
        <v>1</v>
      </c>
      <c r="C5" s="52">
        <f ca="1">SUMPRODUCT(C$11:C$34,$E$11:$E$34)</f>
        <v>1</v>
      </c>
      <c r="D5" s="52">
        <f ca="1">SUMPRODUCT(D$11:D$34,$E$11:$E$34)</f>
        <v>1</v>
      </c>
      <c r="E5" s="52"/>
      <c r="F5" s="52">
        <f ca="1">SUMPRODUCT(F$11:F$34,$E$11:$E$34)</f>
        <v>1</v>
      </c>
      <c r="G5" s="52">
        <f ca="1">SUMPRODUCT(G$11:G$34,$E$11:$E$34)</f>
        <v>1</v>
      </c>
      <c r="H5" s="52">
        <f ca="1">SUMPRODUCT(H$11:H$34,$E$11:$E$34)</f>
        <v>1</v>
      </c>
      <c r="I5" s="61">
        <f ca="1">SUMPRODUCT(I$11:I$34,$E$11:$E$34)</f>
        <v>1</v>
      </c>
      <c r="J5" s="44" t="e">
        <f ca="1">Réservé!C9</f>
        <v>#REF!</v>
      </c>
      <c r="K5" s="47" t="s">
        <v>82</v>
      </c>
      <c r="L5" s="109"/>
      <c r="M5" s="110" t="s">
        <v>4</v>
      </c>
      <c r="N5" s="112" t="s">
        <v>19</v>
      </c>
      <c r="O5" s="46" t="str">
        <f t="shared" si="1"/>
        <v>DH-DM2-1</v>
      </c>
      <c r="P5" s="46" t="e">
        <f t="array" aca="1" ref="P5" ca="1">INDEX(A$11:A$34,MATCH(1,IF(INDEX($B$11:$I$34,0,MATCH(M5,$B$1:$I$1,0))=1,INDEX($B$11:$I$34,0,MATCH(N5,$B$1:$I$1,0)),0),0))</f>
        <v>#REF!</v>
      </c>
      <c r="Q5" s="46" t="e">
        <f t="shared" ca="1" si="4"/>
        <v>#REF!</v>
      </c>
      <c r="S5" s="46" t="str">
        <f t="shared" si="2"/>
        <v>DH-DM2</v>
      </c>
      <c r="T5" s="46" t="e">
        <f t="shared" ca="1" si="5"/>
        <v>#REF!</v>
      </c>
    </row>
    <row r="6" spans="1:20">
      <c r="A6" s="60" t="s">
        <v>4</v>
      </c>
      <c r="B6" s="52">
        <f ca="1">SUMPRODUCT(B$11:B$34,$F$11:$F$34)</f>
        <v>1</v>
      </c>
      <c r="C6" s="52">
        <f ca="1">SUMPRODUCT(C$11:C$34,$F$11:$F$34)</f>
        <v>1</v>
      </c>
      <c r="D6" s="52">
        <f ca="1">SUMPRODUCT(D$11:D$34,$F$11:$F$34)</f>
        <v>1</v>
      </c>
      <c r="E6" s="52">
        <f ca="1">SUMPRODUCT(E$11:E$34,$F$11:$F$34)</f>
        <v>1</v>
      </c>
      <c r="F6" s="52"/>
      <c r="G6" s="52">
        <f ca="1">SUMPRODUCT(G$11:G$34,$F$11:$F$34)</f>
        <v>1</v>
      </c>
      <c r="H6" s="52">
        <f ca="1">SUMPRODUCT(H$11:H$34,$F$11:$F$34)</f>
        <v>1</v>
      </c>
      <c r="I6" s="61">
        <f ca="1">SUMPRODUCT(I$11:I$34,$F$11:$F$34)</f>
        <v>1</v>
      </c>
      <c r="J6" s="44" t="e">
        <f ca="1">Réservé!C11</f>
        <v>#REF!</v>
      </c>
      <c r="K6" s="47" t="s">
        <v>83</v>
      </c>
      <c r="L6" s="109"/>
      <c r="M6" s="112" t="s">
        <v>5</v>
      </c>
      <c r="N6" s="112" t="s">
        <v>12</v>
      </c>
      <c r="O6" s="46" t="str">
        <f t="shared" si="1"/>
        <v>DD-SD1-1</v>
      </c>
      <c r="P6" s="46" t="e">
        <f t="array" aca="1" ref="P6" ca="1">INDEX(A$11:A$34,MATCH(1,IF(INDEX($B$11:$I$34,0,MATCH(M6,$B$1:$I$1,0))=1,INDEX($B$11:$I$34,0,MATCH(N6,$B$1:$I$1,0)),0),0))</f>
        <v>#REF!</v>
      </c>
      <c r="Q6" s="46" t="e">
        <f t="shared" ca="1" si="4"/>
        <v>#REF!</v>
      </c>
      <c r="S6" s="46" t="str">
        <f t="shared" si="2"/>
        <v>DD-SD1</v>
      </c>
      <c r="T6" s="46" t="e">
        <f t="shared" ca="1" si="5"/>
        <v>#REF!</v>
      </c>
    </row>
    <row r="7" spans="1:20">
      <c r="A7" s="60" t="s">
        <v>5</v>
      </c>
      <c r="B7" s="52">
        <f ca="1">SUMPRODUCT(B$11:B$34,$G$11:$G$34)</f>
        <v>1</v>
      </c>
      <c r="C7" s="52">
        <f ca="1">SUMPRODUCT(C$11:C$34,$G$11:$G$34)</f>
        <v>1</v>
      </c>
      <c r="D7" s="52">
        <f ca="1">SUMPRODUCT(D$11:D$34,$G$11:$G$34)</f>
        <v>1</v>
      </c>
      <c r="E7" s="52">
        <f ca="1">SUMPRODUCT(E$11:E$34,$G$11:$G$34)</f>
        <v>1</v>
      </c>
      <c r="F7" s="52">
        <f ca="1">SUMPRODUCT(F$11:F$34,$G$11:$G$34)</f>
        <v>1</v>
      </c>
      <c r="G7" s="52"/>
      <c r="H7" s="52">
        <f ca="1">SUMPRODUCT(H$11:H$34,$G$11:$G$34)</f>
        <v>1</v>
      </c>
      <c r="I7" s="61">
        <f ca="1">SUMPRODUCT(I$11:I$34,$G$11:$G$34)</f>
        <v>1</v>
      </c>
      <c r="J7" s="44" t="e">
        <f ca="1">Réservé!D9</f>
        <v>#REF!</v>
      </c>
      <c r="K7" s="47" t="s">
        <v>82</v>
      </c>
      <c r="L7" s="109"/>
      <c r="M7" s="112" t="s">
        <v>5</v>
      </c>
      <c r="N7" s="112" t="s">
        <v>13</v>
      </c>
      <c r="O7" s="46" t="str">
        <f t="shared" si="1"/>
        <v>DD-SD2-1</v>
      </c>
      <c r="P7" s="46" t="e">
        <f t="array" aca="1" ref="P7" ca="1">INDEX(A$11:A$34,MATCH(1,IF(INDEX($B$11:$I$34,0,MATCH(M7,$B$1:$I$1,0))=1,INDEX($B$11:$I$34,0,MATCH(N7,$B$1:$I$1,0)),0),0))</f>
        <v>#REF!</v>
      </c>
      <c r="Q7" s="46" t="e">
        <f t="shared" ca="1" si="4"/>
        <v>#REF!</v>
      </c>
      <c r="S7" s="46" t="str">
        <f t="shared" si="2"/>
        <v>DD-SD2</v>
      </c>
      <c r="T7" s="46" t="e">
        <f t="shared" ca="1" si="5"/>
        <v>#REF!</v>
      </c>
    </row>
    <row r="8" spans="1:20">
      <c r="A8" s="60" t="s">
        <v>18</v>
      </c>
      <c r="B8" s="52">
        <f t="shared" ref="B8:G8" ca="1" si="6">SUMPRODUCT(B$11:B$34,$H$11:$H$34)</f>
        <v>1</v>
      </c>
      <c r="C8" s="52">
        <f t="shared" ca="1" si="6"/>
        <v>1</v>
      </c>
      <c r="D8" s="52">
        <f t="shared" ca="1" si="6"/>
        <v>1</v>
      </c>
      <c r="E8" s="52">
        <f t="shared" ca="1" si="6"/>
        <v>1</v>
      </c>
      <c r="F8" s="52">
        <f t="shared" ca="1" si="6"/>
        <v>1</v>
      </c>
      <c r="G8" s="52">
        <f t="shared" ca="1" si="6"/>
        <v>1</v>
      </c>
      <c r="H8" s="52"/>
      <c r="I8" s="61">
        <f ca="1">SUMPRODUCT(I$11:I$34,$H$11:$H$34)</f>
        <v>1</v>
      </c>
      <c r="J8" s="44" t="e">
        <f ca="1">Réservé!D11</f>
        <v>#REF!</v>
      </c>
      <c r="K8" s="47" t="s">
        <v>83</v>
      </c>
      <c r="L8" s="109"/>
      <c r="M8" s="112" t="s">
        <v>5</v>
      </c>
      <c r="N8" s="112" t="s">
        <v>18</v>
      </c>
      <c r="O8" s="46" t="str">
        <f t="shared" si="1"/>
        <v>DD-DM1-1</v>
      </c>
      <c r="P8" s="46" t="e">
        <f t="array" aca="1" ref="P8" ca="1">INDEX(A$11:A$34,MATCH(1,IF(INDEX($B$11:$I$34,0,MATCH(M8,$B$1:$I$1,0))=1,INDEX($B$11:$I$34,0,MATCH(N8,$B$1:$I$1,0)),0),0))</f>
        <v>#REF!</v>
      </c>
      <c r="Q8" s="46" t="e">
        <f t="shared" ca="1" si="4"/>
        <v>#REF!</v>
      </c>
      <c r="S8" s="46" t="str">
        <f t="shared" si="2"/>
        <v>DD-DM1</v>
      </c>
      <c r="T8" s="46" t="e">
        <f t="shared" ca="1" si="5"/>
        <v>#REF!</v>
      </c>
    </row>
    <row r="9" spans="1:20" ht="12" thickBot="1">
      <c r="A9" s="62" t="s">
        <v>19</v>
      </c>
      <c r="B9" s="63">
        <f t="shared" ref="B9:H9" ca="1" si="7">SUMPRODUCT(B$11:B$34,$I$11:$I$34)</f>
        <v>1</v>
      </c>
      <c r="C9" s="63">
        <f t="shared" ca="1" si="7"/>
        <v>1</v>
      </c>
      <c r="D9" s="63">
        <f t="shared" ca="1" si="7"/>
        <v>1</v>
      </c>
      <c r="E9" s="63">
        <f t="shared" ca="1" si="7"/>
        <v>1</v>
      </c>
      <c r="F9" s="63">
        <f t="shared" ca="1" si="7"/>
        <v>1</v>
      </c>
      <c r="G9" s="63">
        <f t="shared" ca="1" si="7"/>
        <v>1</v>
      </c>
      <c r="H9" s="63">
        <f t="shared" ca="1" si="7"/>
        <v>1</v>
      </c>
      <c r="I9" s="64"/>
      <c r="J9" s="44" t="e">
        <f ca="1">Réservé!E9</f>
        <v>#REF!</v>
      </c>
      <c r="K9" s="47" t="s">
        <v>82</v>
      </c>
      <c r="L9" s="109"/>
      <c r="M9" s="112" t="s">
        <v>5</v>
      </c>
      <c r="N9" s="112" t="s">
        <v>19</v>
      </c>
      <c r="O9" s="46" t="str">
        <f t="shared" si="1"/>
        <v>DD-DM2-1</v>
      </c>
      <c r="P9" s="46" t="e">
        <f t="array" aca="1" ref="P9" ca="1">INDEX(A$11:A$34,MATCH(1,IF(INDEX($B$11:$I$34,0,MATCH(M9,$B$1:$I$1,0))=1,INDEX($B$11:$I$34,0,MATCH(N9,$B$1:$I$1,0)),0),0))</f>
        <v>#REF!</v>
      </c>
      <c r="Q9" s="46" t="e">
        <f t="shared" ca="1" si="4"/>
        <v>#REF!</v>
      </c>
      <c r="S9" s="46" t="str">
        <f t="shared" si="2"/>
        <v>DD-DM2</v>
      </c>
      <c r="T9" s="46" t="e">
        <f t="shared" ca="1" si="5"/>
        <v>#REF!</v>
      </c>
    </row>
    <row r="10" spans="1:20">
      <c r="J10" s="44" t="e">
        <f ca="1">Réservé!E11</f>
        <v>#REF!</v>
      </c>
      <c r="K10" s="47" t="s">
        <v>83</v>
      </c>
      <c r="L10" s="109"/>
      <c r="M10" s="112" t="s">
        <v>10</v>
      </c>
      <c r="N10" s="112" t="s">
        <v>18</v>
      </c>
      <c r="O10" s="46" t="str">
        <f t="shared" si="1"/>
        <v>SH1-DM1-1</v>
      </c>
      <c r="P10" s="46" t="e">
        <f t="array" aca="1" ref="P10" ca="1">INDEX(A$11:A$34,MATCH(1,IF(INDEX($B$11:$I$34,0,MATCH(M10,$B$1:$I$1,0))=1,INDEX($B$11:$I$34,0,MATCH(N10,$B$1:$I$1,0)),0),0))</f>
        <v>#REF!</v>
      </c>
      <c r="Q10" s="46" t="e">
        <f t="shared" ca="1" si="4"/>
        <v>#REF!</v>
      </c>
      <c r="S10" s="46" t="str">
        <f t="shared" si="2"/>
        <v>SH1-DM1</v>
      </c>
      <c r="T10" s="46" t="e">
        <f t="shared" ca="1" si="5"/>
        <v>#REF!</v>
      </c>
    </row>
    <row r="11" spans="1:20">
      <c r="A11" s="48" t="e">
        <f t="array" aca="1" ref="A11" ca="1">(INDEX($J:$J,MIN(IF(COUNTIF(A$10:A10,$J$3:$J$26)=0,ROW($J$3:$J$26))))&amp;"")</f>
        <v>#REF!</v>
      </c>
      <c r="B11" s="49">
        <f ca="1">IF(ISNA(MATCH($A11,Réservé!B$9:B$12,0)),"",1)</f>
        <v>1</v>
      </c>
      <c r="C11" s="49">
        <f ca="1">IF(ISNA(MATCH($A11,Réservé!C$9:C$12,0)),"",1)</f>
        <v>1</v>
      </c>
      <c r="D11" s="49">
        <f ca="1">IF(ISNA(MATCH($A11,Réservé!D$9:D$12,0)),"",1)</f>
        <v>1</v>
      </c>
      <c r="E11" s="49">
        <f ca="1">IF(ISNA(MATCH($A11,Réservé!E$9:E$12,0)),"",1)</f>
        <v>1</v>
      </c>
      <c r="F11" s="49">
        <f ca="1">IF(ISNA(MATCH($A11,Réservé!F$9:F$12,0)),"",1)</f>
        <v>1</v>
      </c>
      <c r="G11" s="49">
        <f ca="1">IF(ISNA(MATCH($A11,Réservé!G$9:G$12,0)),"",1)</f>
        <v>1</v>
      </c>
      <c r="H11" s="49">
        <f ca="1">IF(ISNA(MATCH($A11,Réservé!H$9:H$12,0)),"",1)</f>
        <v>1</v>
      </c>
      <c r="I11" s="50">
        <f ca="1">IF(ISNA(MATCH($A11,Réservé!I$9:I$12,0)),"",1)</f>
        <v>1</v>
      </c>
      <c r="J11" s="44" t="e">
        <f ca="1">Réservé!F9</f>
        <v>#REF!</v>
      </c>
      <c r="K11" s="47" t="s">
        <v>82</v>
      </c>
      <c r="L11" s="109"/>
      <c r="M11" s="112" t="s">
        <v>10</v>
      </c>
      <c r="N11" s="112" t="s">
        <v>19</v>
      </c>
      <c r="O11" s="46" t="str">
        <f t="shared" si="1"/>
        <v>SH1-DM2-1</v>
      </c>
      <c r="P11" s="46" t="e">
        <f t="array" aca="1" ref="P11" ca="1">INDEX(A$11:A$34,MATCH(1,IF(INDEX($B$11:$I$34,0,MATCH(M11,$B$1:$I$1,0))=1,INDEX($B$11:$I$34,0,MATCH(N11,$B$1:$I$1,0)),0),0))</f>
        <v>#REF!</v>
      </c>
      <c r="Q11" s="46" t="e">
        <f t="shared" ca="1" si="4"/>
        <v>#REF!</v>
      </c>
      <c r="S11" s="46" t="str">
        <f t="shared" si="2"/>
        <v>SH1-DM2</v>
      </c>
      <c r="T11" s="46" t="e">
        <f t="shared" ca="1" si="5"/>
        <v>#REF!</v>
      </c>
    </row>
    <row r="12" spans="1:20">
      <c r="A12" s="51" t="str">
        <f t="array" aca="1" ref="A12" ca="1">(INDEX($J:$J,MIN(IF(COUNTIF(A$10:A11,$J$3:$J$26)=0,ROW($J$3:$J$26))))&amp;"")</f>
        <v/>
      </c>
      <c r="B12" s="52" t="str">
        <f ca="1">IF(ISNA(MATCH($A12,Réservé!B$9:B$12,0)),"",1)</f>
        <v/>
      </c>
      <c r="C12" s="52" t="str">
        <f ca="1">IF(ISNA(MATCH($A12,Réservé!C$9:C$12,0)),"",1)</f>
        <v/>
      </c>
      <c r="D12" s="52" t="str">
        <f ca="1">IF(ISNA(MATCH($A12,Réservé!D$9:D$12,0)),"",1)</f>
        <v/>
      </c>
      <c r="E12" s="52" t="str">
        <f ca="1">IF(ISNA(MATCH($A12,Réservé!E$9:E$12,0)),"",1)</f>
        <v/>
      </c>
      <c r="F12" s="52" t="str">
        <f ca="1">IF(ISNA(MATCH($A12,Réservé!F$9:F$12,0)),"",1)</f>
        <v/>
      </c>
      <c r="G12" s="52" t="str">
        <f ca="1">IF(ISNA(MATCH($A12,Réservé!G$9:G$12,0)),"",1)</f>
        <v/>
      </c>
      <c r="H12" s="52" t="str">
        <f ca="1">IF(ISNA(MATCH($A12,Réservé!H$9:H$12,0)),"",1)</f>
        <v/>
      </c>
      <c r="I12" s="53" t="str">
        <f ca="1">IF(ISNA(MATCH($A12,Réservé!I$9:I$12,0)),"",1)</f>
        <v/>
      </c>
      <c r="J12" s="44" t="e">
        <f ca="1">Réservé!F10</f>
        <v>#REF!</v>
      </c>
      <c r="K12" s="47" t="s">
        <v>82</v>
      </c>
      <c r="L12" s="109"/>
      <c r="M12" s="112" t="s">
        <v>11</v>
      </c>
      <c r="N12" s="112" t="s">
        <v>18</v>
      </c>
      <c r="O12" s="46" t="str">
        <f t="shared" si="1"/>
        <v>SH2-DM1-1</v>
      </c>
      <c r="P12" s="46" t="e">
        <f t="array" aca="1" ref="P12" ca="1">INDEX(A$11:A$34,MATCH(1,IF(INDEX($B$11:$I$34,0,MATCH(M12,$B$1:$I$1,0))=1,INDEX($B$11:$I$34,0,MATCH(N12,$B$1:$I$1,0)),0),0))</f>
        <v>#REF!</v>
      </c>
      <c r="Q12" s="46" t="e">
        <f t="shared" ca="1" si="4"/>
        <v>#REF!</v>
      </c>
      <c r="S12" s="46" t="str">
        <f t="shared" si="2"/>
        <v>SH2-DM1</v>
      </c>
      <c r="T12" s="46" t="e">
        <f t="shared" ca="1" si="5"/>
        <v>#REF!</v>
      </c>
    </row>
    <row r="13" spans="1:20">
      <c r="A13" s="51" t="str">
        <f t="array" aca="1" ref="A13" ca="1">(INDEX($J:$J,MIN(IF(COUNTIF(A$10:A12,$J$3:$J$26)=0,ROW($J$3:$J$26))))&amp;"")</f>
        <v/>
      </c>
      <c r="B13" s="52" t="str">
        <f ca="1">IF(ISNA(MATCH($A13,Réservé!B$9:B$12,0)),"",1)</f>
        <v/>
      </c>
      <c r="C13" s="52" t="str">
        <f ca="1">IF(ISNA(MATCH($A13,Réservé!C$9:C$12,0)),"",1)</f>
        <v/>
      </c>
      <c r="D13" s="52" t="str">
        <f ca="1">IF(ISNA(MATCH($A13,Réservé!D$9:D$12,0)),"",1)</f>
        <v/>
      </c>
      <c r="E13" s="52" t="str">
        <f ca="1">IF(ISNA(MATCH($A13,Réservé!E$9:E$12,0)),"",1)</f>
        <v/>
      </c>
      <c r="F13" s="52" t="str">
        <f ca="1">IF(ISNA(MATCH($A13,Réservé!F$9:F$12,0)),"",1)</f>
        <v/>
      </c>
      <c r="G13" s="52" t="str">
        <f ca="1">IF(ISNA(MATCH($A13,Réservé!G$9:G$12,0)),"",1)</f>
        <v/>
      </c>
      <c r="H13" s="52" t="str">
        <f ca="1">IF(ISNA(MATCH($A13,Réservé!H$9:H$12,0)),"",1)</f>
        <v/>
      </c>
      <c r="I13" s="53" t="str">
        <f ca="1">IF(ISNA(MATCH($A13,Réservé!I$9:I$12,0)),"",1)</f>
        <v/>
      </c>
      <c r="J13" s="44" t="e">
        <f ca="1">Réservé!F11</f>
        <v>#REF!</v>
      </c>
      <c r="K13" s="47" t="s">
        <v>83</v>
      </c>
      <c r="L13" s="109"/>
      <c r="M13" s="112" t="s">
        <v>11</v>
      </c>
      <c r="N13" s="112" t="s">
        <v>19</v>
      </c>
      <c r="O13" s="46" t="str">
        <f t="shared" si="1"/>
        <v>SH2-DM2-1</v>
      </c>
      <c r="P13" s="46" t="e">
        <f t="array" aca="1" ref="P13" ca="1">INDEX(A$11:A$34,MATCH(1,IF(INDEX($B$11:$I$34,0,MATCH(M13,$B$1:$I$1,0))=1,INDEX($B$11:$I$34,0,MATCH(N13,$B$1:$I$1,0)),0),0))</f>
        <v>#REF!</v>
      </c>
      <c r="Q13" s="46" t="e">
        <f t="shared" ca="1" si="4"/>
        <v>#REF!</v>
      </c>
      <c r="S13" s="46" t="str">
        <f t="shared" si="2"/>
        <v>SH2-DM2</v>
      </c>
      <c r="T13" s="46" t="e">
        <f t="shared" ca="1" si="5"/>
        <v>#REF!</v>
      </c>
    </row>
    <row r="14" spans="1:20">
      <c r="A14" s="51" t="str">
        <f t="array" aca="1" ref="A14" ca="1">(INDEX($J:$J,MIN(IF(COUNTIF(A$10:A13,$J$3:$J$26)=0,ROW($J$3:$J$26))))&amp;"")</f>
        <v/>
      </c>
      <c r="B14" s="52" t="str">
        <f ca="1">IF(ISNA(MATCH($A14,Réservé!B$9:B$12,0)),"",1)</f>
        <v/>
      </c>
      <c r="C14" s="52" t="str">
        <f ca="1">IF(ISNA(MATCH($A14,Réservé!C$9:C$12,0)),"",1)</f>
        <v/>
      </c>
      <c r="D14" s="52" t="str">
        <f ca="1">IF(ISNA(MATCH($A14,Réservé!D$9:D$12,0)),"",1)</f>
        <v/>
      </c>
      <c r="E14" s="52" t="str">
        <f ca="1">IF(ISNA(MATCH($A14,Réservé!E$9:E$12,0)),"",1)</f>
        <v/>
      </c>
      <c r="F14" s="52" t="str">
        <f ca="1">IF(ISNA(MATCH($A14,Réservé!F$9:F$12,0)),"",1)</f>
        <v/>
      </c>
      <c r="G14" s="52" t="str">
        <f ca="1">IF(ISNA(MATCH($A14,Réservé!G$9:G$12,0)),"",1)</f>
        <v/>
      </c>
      <c r="H14" s="52" t="str">
        <f ca="1">IF(ISNA(MATCH($A14,Réservé!H$9:H$12,0)),"",1)</f>
        <v/>
      </c>
      <c r="I14" s="53" t="str">
        <f ca="1">IF(ISNA(MATCH($A14,Réservé!I$9:I$12,0)),"",1)</f>
        <v/>
      </c>
      <c r="J14" s="44" t="e">
        <f ca="1">Réservé!F12</f>
        <v>#REF!</v>
      </c>
      <c r="K14" s="47" t="s">
        <v>83</v>
      </c>
      <c r="L14" s="109"/>
      <c r="M14" s="112" t="s">
        <v>12</v>
      </c>
      <c r="N14" s="112" t="s">
        <v>18</v>
      </c>
      <c r="O14" s="46" t="str">
        <f t="shared" si="1"/>
        <v>SD1-DM1-1</v>
      </c>
      <c r="P14" s="46" t="e">
        <f t="array" aca="1" ref="P14" ca="1">INDEX(A$11:A$34,MATCH(1,IF(INDEX($B$11:$I$34,0,MATCH(M14,$B$1:$I$1,0))=1,INDEX($B$11:$I$34,0,MATCH(N14,$B$1:$I$1,0)),0),0))</f>
        <v>#REF!</v>
      </c>
      <c r="Q14" s="46" t="e">
        <f t="shared" ca="1" si="4"/>
        <v>#REF!</v>
      </c>
      <c r="S14" s="46" t="str">
        <f t="shared" si="2"/>
        <v>SD1-DM1</v>
      </c>
      <c r="T14" s="46" t="e">
        <f t="shared" ca="1" si="5"/>
        <v>#REF!</v>
      </c>
    </row>
    <row r="15" spans="1:20">
      <c r="A15" s="51" t="str">
        <f t="array" aca="1" ref="A15" ca="1">(INDEX($J:$J,MIN(IF(COUNTIF(A$10:A14,$J$3:$J$26)=0,ROW($J$3:$J$26))))&amp;"")</f>
        <v/>
      </c>
      <c r="B15" s="52" t="str">
        <f ca="1">IF(ISNA(MATCH($A15,Réservé!B$9:B$12,0)),"",1)</f>
        <v/>
      </c>
      <c r="C15" s="52" t="str">
        <f ca="1">IF(ISNA(MATCH($A15,Réservé!C$9:C$12,0)),"",1)</f>
        <v/>
      </c>
      <c r="D15" s="52" t="str">
        <f ca="1">IF(ISNA(MATCH($A15,Réservé!D$9:D$12,0)),"",1)</f>
        <v/>
      </c>
      <c r="E15" s="52" t="str">
        <f ca="1">IF(ISNA(MATCH($A15,Réservé!E$9:E$12,0)),"",1)</f>
        <v/>
      </c>
      <c r="F15" s="52" t="str">
        <f ca="1">IF(ISNA(MATCH($A15,Réservé!F$9:F$12,0)),"",1)</f>
        <v/>
      </c>
      <c r="G15" s="52" t="str">
        <f ca="1">IF(ISNA(MATCH($A15,Réservé!G$9:G$12,0)),"",1)</f>
        <v/>
      </c>
      <c r="H15" s="52" t="str">
        <f ca="1">IF(ISNA(MATCH($A15,Réservé!H$9:H$12,0)),"",1)</f>
        <v/>
      </c>
      <c r="I15" s="53" t="str">
        <f ca="1">IF(ISNA(MATCH($A15,Réservé!I$9:I$12,0)),"",1)</f>
        <v/>
      </c>
      <c r="J15" s="44" t="e">
        <f ca="1">Réservé!G9</f>
        <v>#REF!</v>
      </c>
      <c r="K15" s="47" t="s">
        <v>82</v>
      </c>
      <c r="L15" s="109"/>
      <c r="M15" s="112" t="s">
        <v>12</v>
      </c>
      <c r="N15" s="112" t="s">
        <v>19</v>
      </c>
      <c r="O15" s="46" t="str">
        <f t="shared" si="1"/>
        <v>SD1-DM2-1</v>
      </c>
      <c r="P15" s="46" t="e">
        <f t="array" aca="1" ref="P15" ca="1">INDEX(A$11:A$34,MATCH(1,IF(INDEX($B$11:$I$34,0,MATCH(M15,$B$1:$I$1,0))=1,INDEX($B$11:$I$34,0,MATCH(N15,$B$1:$I$1,0)),0),0))</f>
        <v>#REF!</v>
      </c>
      <c r="Q15" s="46" t="e">
        <f t="shared" ca="1" si="4"/>
        <v>#REF!</v>
      </c>
      <c r="S15" s="46" t="str">
        <f t="shared" si="2"/>
        <v>SD1-DM2</v>
      </c>
      <c r="T15" s="46" t="e">
        <f t="shared" ca="1" si="5"/>
        <v>#REF!</v>
      </c>
    </row>
    <row r="16" spans="1:20">
      <c r="A16" s="51" t="str">
        <f t="array" aca="1" ref="A16" ca="1">(INDEX($J:$J,MIN(IF(COUNTIF(A$10:A15,$J$3:$J$26)=0,ROW($J$3:$J$26))))&amp;"")</f>
        <v/>
      </c>
      <c r="B16" s="52" t="str">
        <f ca="1">IF(ISNA(MATCH($A16,Réservé!B$9:B$12,0)),"",1)</f>
        <v/>
      </c>
      <c r="C16" s="52" t="str">
        <f ca="1">IF(ISNA(MATCH($A16,Réservé!C$9:C$12,0)),"",1)</f>
        <v/>
      </c>
      <c r="D16" s="52" t="str">
        <f ca="1">IF(ISNA(MATCH($A16,Réservé!D$9:D$12,0)),"",1)</f>
        <v/>
      </c>
      <c r="E16" s="52" t="str">
        <f ca="1">IF(ISNA(MATCH($A16,Réservé!E$9:E$12,0)),"",1)</f>
        <v/>
      </c>
      <c r="F16" s="52" t="str">
        <f ca="1">IF(ISNA(MATCH($A16,Réservé!F$9:F$12,0)),"",1)</f>
        <v/>
      </c>
      <c r="G16" s="52" t="str">
        <f ca="1">IF(ISNA(MATCH($A16,Réservé!G$9:G$12,0)),"",1)</f>
        <v/>
      </c>
      <c r="H16" s="52" t="str">
        <f ca="1">IF(ISNA(MATCH($A16,Réservé!H$9:H$12,0)),"",1)</f>
        <v/>
      </c>
      <c r="I16" s="53" t="str">
        <f ca="1">IF(ISNA(MATCH($A16,Réservé!I$9:I$12,0)),"",1)</f>
        <v/>
      </c>
      <c r="J16" s="44" t="e">
        <f ca="1">Réservé!G10</f>
        <v>#REF!</v>
      </c>
      <c r="K16" s="47" t="s">
        <v>82</v>
      </c>
      <c r="L16" s="109"/>
      <c r="M16" s="112" t="s">
        <v>13</v>
      </c>
      <c r="N16" s="112" t="s">
        <v>18</v>
      </c>
      <c r="O16" s="46" t="str">
        <f t="shared" si="1"/>
        <v>SD2-DM1-1</v>
      </c>
      <c r="P16" s="46" t="e">
        <f t="array" aca="1" ref="P16" ca="1">INDEX(A$11:A$34,MATCH(1,IF(INDEX($B$11:$I$34,0,MATCH(M16,$B$1:$I$1,0))=1,INDEX($B$11:$I$34,0,MATCH(N16,$B$1:$I$1,0)),0),0))</f>
        <v>#REF!</v>
      </c>
      <c r="Q16" s="46" t="e">
        <f t="shared" ca="1" si="4"/>
        <v>#REF!</v>
      </c>
      <c r="S16" s="46" t="str">
        <f t="shared" si="2"/>
        <v>SD2-DM1</v>
      </c>
      <c r="T16" s="46" t="e">
        <f t="shared" ca="1" si="5"/>
        <v>#REF!</v>
      </c>
    </row>
    <row r="17" spans="1:20">
      <c r="A17" s="51" t="str">
        <f t="array" aca="1" ref="A17" ca="1">(INDEX($J:$J,MIN(IF(COUNTIF(A$10:A16,$J$3:$J$26)=0,ROW($J$3:$J$26))))&amp;"")</f>
        <v/>
      </c>
      <c r="B17" s="52" t="str">
        <f ca="1">IF(ISNA(MATCH($A17,Réservé!B$9:B$12,0)),"",1)</f>
        <v/>
      </c>
      <c r="C17" s="52" t="str">
        <f ca="1">IF(ISNA(MATCH($A17,Réservé!C$9:C$12,0)),"",1)</f>
        <v/>
      </c>
      <c r="D17" s="52" t="str">
        <f ca="1">IF(ISNA(MATCH($A17,Réservé!D$9:D$12,0)),"",1)</f>
        <v/>
      </c>
      <c r="E17" s="52" t="str">
        <f ca="1">IF(ISNA(MATCH($A17,Réservé!E$9:E$12,0)),"",1)</f>
        <v/>
      </c>
      <c r="F17" s="52" t="str">
        <f ca="1">IF(ISNA(MATCH($A17,Réservé!F$9:F$12,0)),"",1)</f>
        <v/>
      </c>
      <c r="G17" s="52" t="str">
        <f ca="1">IF(ISNA(MATCH($A17,Réservé!G$9:G$12,0)),"",1)</f>
        <v/>
      </c>
      <c r="H17" s="52" t="str">
        <f ca="1">IF(ISNA(MATCH($A17,Réservé!H$9:H$12,0)),"",1)</f>
        <v/>
      </c>
      <c r="I17" s="53" t="str">
        <f ca="1">IF(ISNA(MATCH($A17,Réservé!I$9:I$12,0)),"",1)</f>
        <v/>
      </c>
      <c r="J17" s="44" t="e">
        <f ca="1">Réservé!G11</f>
        <v>#REF!</v>
      </c>
      <c r="K17" s="47" t="s">
        <v>83</v>
      </c>
      <c r="L17" s="109"/>
      <c r="M17" s="112" t="s">
        <v>13</v>
      </c>
      <c r="N17" s="112" t="s">
        <v>19</v>
      </c>
      <c r="O17" s="46" t="str">
        <f t="shared" si="1"/>
        <v>SD2-DM2-1</v>
      </c>
      <c r="P17" s="46" t="e">
        <f t="array" aca="1" ref="P17" ca="1">INDEX(A$11:A$34,MATCH(1,IF(INDEX($B$11:$I$34,0,MATCH(M17,$B$1:$I$1,0))=1,INDEX($B$11:$I$34,0,MATCH(N17,$B$1:$I$1,0)),0),0))</f>
        <v>#REF!</v>
      </c>
      <c r="Q17" s="46" t="e">
        <f t="shared" ca="1" si="4"/>
        <v>#REF!</v>
      </c>
      <c r="S17" s="46" t="str">
        <f t="shared" si="2"/>
        <v>SD2-DM2</v>
      </c>
      <c r="T17" s="46" t="e">
        <f t="shared" ca="1" si="5"/>
        <v>#REF!</v>
      </c>
    </row>
    <row r="18" spans="1:20">
      <c r="A18" s="51" t="str">
        <f t="array" aca="1" ref="A18" ca="1">(INDEX($J:$J,MIN(IF(COUNTIF(A$10:A17,$J$3:$J$26)=0,ROW($J$3:$J$26))))&amp;"")</f>
        <v/>
      </c>
      <c r="B18" s="52" t="str">
        <f ca="1">IF(ISNA(MATCH($A18,Réservé!B$9:B$12,0)),"",1)</f>
        <v/>
      </c>
      <c r="C18" s="52" t="str">
        <f ca="1">IF(ISNA(MATCH($A18,Réservé!C$9:C$12,0)),"",1)</f>
        <v/>
      </c>
      <c r="D18" s="52" t="str">
        <f ca="1">IF(ISNA(MATCH($A18,Réservé!D$9:D$12,0)),"",1)</f>
        <v/>
      </c>
      <c r="E18" s="52" t="str">
        <f ca="1">IF(ISNA(MATCH($A18,Réservé!E$9:E$12,0)),"",1)</f>
        <v/>
      </c>
      <c r="F18" s="52" t="str">
        <f ca="1">IF(ISNA(MATCH($A18,Réservé!F$9:F$12,0)),"",1)</f>
        <v/>
      </c>
      <c r="G18" s="52" t="str">
        <f ca="1">IF(ISNA(MATCH($A18,Réservé!G$9:G$12,0)),"",1)</f>
        <v/>
      </c>
      <c r="H18" s="52" t="str">
        <f ca="1">IF(ISNA(MATCH($A18,Réservé!H$9:H$12,0)),"",1)</f>
        <v/>
      </c>
      <c r="I18" s="53" t="str">
        <f ca="1">IF(ISNA(MATCH($A18,Réservé!I$9:I$12,0)),"",1)</f>
        <v/>
      </c>
      <c r="J18" s="44" t="e">
        <f ca="1">Réservé!G12</f>
        <v>#REF!</v>
      </c>
      <c r="K18" s="47" t="s">
        <v>83</v>
      </c>
      <c r="L18" s="109"/>
      <c r="M18" s="110" t="s">
        <v>4</v>
      </c>
      <c r="N18" s="110" t="s">
        <v>10</v>
      </c>
      <c r="O18" s="46" t="str">
        <f>M18&amp;"-"&amp;N18&amp;"-2"</f>
        <v>DH-SH1-2</v>
      </c>
      <c r="P18" s="46" t="e">
        <f t="array" aca="1" ref="P18" ca="1">INDEX(INDIRECT(CONCATENATE("A$",11+MATCH(P2,$A$11:$A$34,0),":A$34")),MATCH(1,IF(INDEX(INDIRECT(CONCATENATE("$B$",11+MATCH(P2,$A$11:$A$34,0),":$I$34")),0,MATCH(M18,$B$1:$I$1,0))=1,INDEX(INDIRECT(CONCATENATE("$B$",11+MATCH(P2,$A$11:$A$34,0),":$I$34")),0,MATCH(N18,$B$1:$I$1,0)),0),0))</f>
        <v>#REF!</v>
      </c>
      <c r="Q18" s="46" t="e">
        <f t="shared" ca="1" si="4"/>
        <v>#REF!</v>
      </c>
    </row>
    <row r="19" spans="1:20">
      <c r="A19" s="51" t="str">
        <f t="array" aca="1" ref="A19" ca="1">(INDEX($J:$J,MIN(IF(COUNTIF(A$10:A18,$J$3:$J$26)=0,ROW($J$3:$J$26))))&amp;"")</f>
        <v/>
      </c>
      <c r="B19" s="52" t="str">
        <f ca="1">IF(ISNA(MATCH($A19,Réservé!B$9:B$12,0)),"",1)</f>
        <v/>
      </c>
      <c r="C19" s="52" t="str">
        <f ca="1">IF(ISNA(MATCH($A19,Réservé!C$9:C$12,0)),"",1)</f>
        <v/>
      </c>
      <c r="D19" s="52" t="str">
        <f ca="1">IF(ISNA(MATCH($A19,Réservé!D$9:D$12,0)),"",1)</f>
        <v/>
      </c>
      <c r="E19" s="52" t="str">
        <f ca="1">IF(ISNA(MATCH($A19,Réservé!E$9:E$12,0)),"",1)</f>
        <v/>
      </c>
      <c r="F19" s="52" t="str">
        <f ca="1">IF(ISNA(MATCH($A19,Réservé!F$9:F$12,0)),"",1)</f>
        <v/>
      </c>
      <c r="G19" s="52" t="str">
        <f ca="1">IF(ISNA(MATCH($A19,Réservé!G$9:G$12,0)),"",1)</f>
        <v/>
      </c>
      <c r="H19" s="52" t="str">
        <f ca="1">IF(ISNA(MATCH($A19,Réservé!H$9:H$12,0)),"",1)</f>
        <v/>
      </c>
      <c r="I19" s="53" t="str">
        <f ca="1">IF(ISNA(MATCH($A19,Réservé!I$9:I$12,0)),"",1)</f>
        <v/>
      </c>
      <c r="J19" s="44" t="e">
        <f ca="1">Réservé!H9</f>
        <v>#REF!</v>
      </c>
      <c r="K19" s="47" t="s">
        <v>82</v>
      </c>
      <c r="L19" s="109"/>
      <c r="M19" s="110" t="s">
        <v>4</v>
      </c>
      <c r="N19" s="111" t="s">
        <v>11</v>
      </c>
      <c r="O19" s="46" t="str">
        <f t="shared" ref="O19:O33" si="8">M19&amp;"-"&amp;N19&amp;"-2"</f>
        <v>DH-SH2-2</v>
      </c>
      <c r="P19" s="46" t="e">
        <f t="array" aca="1" ref="P19" ca="1">INDEX(INDIRECT(CONCATENATE("A$",11+MATCH(P3,$A$11:$A$34,0),":A$34")),MATCH(1,IF(INDEX(INDIRECT(CONCATENATE("$B$",11+MATCH(P3,$A$11:$A$34,0),":$I$34")),0,MATCH(M19,$B$1:$I$1,0))=1,INDEX(INDIRECT(CONCATENATE("$B$",11+MATCH(P3,$A$11:$A$34,0),":$I$34")),0,MATCH(N19,$B$1:$I$1,0)),0),0))</f>
        <v>#REF!</v>
      </c>
      <c r="Q19" s="46" t="e">
        <f t="shared" ca="1" si="4"/>
        <v>#REF!</v>
      </c>
    </row>
    <row r="20" spans="1:20">
      <c r="A20" s="51" t="str">
        <f t="array" aca="1" ref="A20" ca="1">(INDEX($J:$J,MIN(IF(COUNTIF(A$10:A19,$J$3:$J$26)=0,ROW($J$3:$J$26))))&amp;"")</f>
        <v/>
      </c>
      <c r="B20" s="52" t="str">
        <f ca="1">IF(ISNA(MATCH($A20,Réservé!B$9:B$12,0)),"",1)</f>
        <v/>
      </c>
      <c r="C20" s="52" t="str">
        <f ca="1">IF(ISNA(MATCH($A20,Réservé!C$9:C$12,0)),"",1)</f>
        <v/>
      </c>
      <c r="D20" s="52" t="str">
        <f ca="1">IF(ISNA(MATCH($A20,Réservé!D$9:D$12,0)),"",1)</f>
        <v/>
      </c>
      <c r="E20" s="52" t="str">
        <f ca="1">IF(ISNA(MATCH($A20,Réservé!E$9:E$12,0)),"",1)</f>
        <v/>
      </c>
      <c r="F20" s="52" t="str">
        <f ca="1">IF(ISNA(MATCH($A20,Réservé!F$9:F$12,0)),"",1)</f>
        <v/>
      </c>
      <c r="G20" s="52" t="str">
        <f ca="1">IF(ISNA(MATCH($A20,Réservé!G$9:G$12,0)),"",1)</f>
        <v/>
      </c>
      <c r="H20" s="52" t="str">
        <f ca="1">IF(ISNA(MATCH($A20,Réservé!H$9:H$12,0)),"",1)</f>
        <v/>
      </c>
      <c r="I20" s="53" t="str">
        <f ca="1">IF(ISNA(MATCH($A20,Réservé!I$9:I$12,0)),"",1)</f>
        <v/>
      </c>
      <c r="J20" s="44" t="e">
        <f ca="1">Réservé!H10</f>
        <v>#REF!</v>
      </c>
      <c r="K20" s="47" t="s">
        <v>82</v>
      </c>
      <c r="L20" s="109"/>
      <c r="M20" s="110" t="s">
        <v>4</v>
      </c>
      <c r="N20" s="111" t="s">
        <v>18</v>
      </c>
      <c r="O20" s="46" t="str">
        <f t="shared" si="8"/>
        <v>DH-DM1-2</v>
      </c>
      <c r="P20" s="46" t="e">
        <f t="array" aca="1" ref="P20" ca="1">INDEX(INDIRECT(CONCATENATE("A$",11+MATCH(P4,$A$11:$A$34,0),":A$34")),MATCH(1,IF(INDEX(INDIRECT(CONCATENATE("$B$",11+MATCH(P4,$A$11:$A$34,0),":$I$34")),0,MATCH(M20,$B$1:$I$1,0))=1,INDEX(INDIRECT(CONCATENATE("$B$",11+MATCH(P4,$A$11:$A$34,0),":$I$34")),0,MATCH(N20,$B$1:$I$1,0)),0),0))</f>
        <v>#REF!</v>
      </c>
      <c r="Q20" s="46" t="e">
        <f t="shared" ca="1" si="4"/>
        <v>#REF!</v>
      </c>
    </row>
    <row r="21" spans="1:20">
      <c r="A21" s="51" t="str">
        <f t="array" aca="1" ref="A21" ca="1">(INDEX($J:$J,MIN(IF(COUNTIF(A$10:A20,$J$3:$J$26)=0,ROW($J$3:$J$26))))&amp;"")</f>
        <v/>
      </c>
      <c r="B21" s="52" t="str">
        <f ca="1">IF(ISNA(MATCH($A21,Réservé!B$9:B$12,0)),"",1)</f>
        <v/>
      </c>
      <c r="C21" s="52" t="str">
        <f ca="1">IF(ISNA(MATCH($A21,Réservé!C$9:C$12,0)),"",1)</f>
        <v/>
      </c>
      <c r="D21" s="52" t="str">
        <f ca="1">IF(ISNA(MATCH($A21,Réservé!D$9:D$12,0)),"",1)</f>
        <v/>
      </c>
      <c r="E21" s="52" t="str">
        <f ca="1">IF(ISNA(MATCH($A21,Réservé!E$9:E$12,0)),"",1)</f>
        <v/>
      </c>
      <c r="F21" s="52" t="str">
        <f ca="1">IF(ISNA(MATCH($A21,Réservé!F$9:F$12,0)),"",1)</f>
        <v/>
      </c>
      <c r="G21" s="52" t="str">
        <f ca="1">IF(ISNA(MATCH($A21,Réservé!G$9:G$12,0)),"",1)</f>
        <v/>
      </c>
      <c r="H21" s="52" t="str">
        <f ca="1">IF(ISNA(MATCH($A21,Réservé!H$9:H$12,0)),"",1)</f>
        <v/>
      </c>
      <c r="I21" s="53" t="str">
        <f ca="1">IF(ISNA(MATCH($A21,Réservé!I$9:I$12,0)),"",1)</f>
        <v/>
      </c>
      <c r="J21" s="44" t="e">
        <f ca="1">Réservé!H11</f>
        <v>#REF!</v>
      </c>
      <c r="K21" s="47" t="s">
        <v>83</v>
      </c>
      <c r="L21" s="109"/>
      <c r="M21" s="110" t="s">
        <v>4</v>
      </c>
      <c r="N21" s="112" t="s">
        <v>19</v>
      </c>
      <c r="O21" s="46" t="str">
        <f t="shared" si="8"/>
        <v>DH-DM2-2</v>
      </c>
      <c r="P21" s="46" t="e">
        <f t="array" aca="1" ref="P21" ca="1">INDEX(INDIRECT(CONCATENATE("A$",11+MATCH(P5,$A$11:$A$34,0),":A$34")),MATCH(1,IF(INDEX(INDIRECT(CONCATENATE("$B$",11+MATCH(P5,$A$11:$A$34,0),":$I$34")),0,MATCH(M21,$B$1:$I$1,0))=1,INDEX(INDIRECT(CONCATENATE("$B$",11+MATCH(P5,$A$11:$A$34,0),":$I$34")),0,MATCH(N21,$B$1:$I$1,0)),0),0))</f>
        <v>#REF!</v>
      </c>
      <c r="Q21" s="46" t="e">
        <f t="shared" ca="1" si="4"/>
        <v>#REF!</v>
      </c>
    </row>
    <row r="22" spans="1:20">
      <c r="A22" s="51" t="str">
        <f t="array" aca="1" ref="A22" ca="1">(INDEX($J:$J,MIN(IF(COUNTIF(A$10:A21,$J$3:$J$26)=0,ROW($J$3:$J$26))))&amp;"")</f>
        <v/>
      </c>
      <c r="B22" s="52" t="str">
        <f ca="1">IF(ISNA(MATCH($A22,Réservé!B$9:B$12,0)),"",1)</f>
        <v/>
      </c>
      <c r="C22" s="52" t="str">
        <f ca="1">IF(ISNA(MATCH($A22,Réservé!C$9:C$12,0)),"",1)</f>
        <v/>
      </c>
      <c r="D22" s="52" t="str">
        <f ca="1">IF(ISNA(MATCH($A22,Réservé!D$9:D$12,0)),"",1)</f>
        <v/>
      </c>
      <c r="E22" s="52" t="str">
        <f ca="1">IF(ISNA(MATCH($A22,Réservé!E$9:E$12,0)),"",1)</f>
        <v/>
      </c>
      <c r="F22" s="52" t="str">
        <f ca="1">IF(ISNA(MATCH($A22,Réservé!F$9:F$12,0)),"",1)</f>
        <v/>
      </c>
      <c r="G22" s="52" t="str">
        <f ca="1">IF(ISNA(MATCH($A22,Réservé!G$9:G$12,0)),"",1)</f>
        <v/>
      </c>
      <c r="H22" s="52" t="str">
        <f ca="1">IF(ISNA(MATCH($A22,Réservé!H$9:H$12,0)),"",1)</f>
        <v/>
      </c>
      <c r="I22" s="53" t="str">
        <f ca="1">IF(ISNA(MATCH($A22,Réservé!I$9:I$12,0)),"",1)</f>
        <v/>
      </c>
      <c r="J22" s="44" t="e">
        <f ca="1">Réservé!H12</f>
        <v>#REF!</v>
      </c>
      <c r="K22" s="47" t="s">
        <v>83</v>
      </c>
      <c r="L22" s="109"/>
      <c r="M22" s="112" t="s">
        <v>5</v>
      </c>
      <c r="N22" s="112" t="s">
        <v>12</v>
      </c>
      <c r="O22" s="46" t="str">
        <f t="shared" si="8"/>
        <v>DD-SD1-2</v>
      </c>
      <c r="P22" s="46" t="e">
        <f t="array" aca="1" ref="P22" ca="1">INDEX(INDIRECT(CONCATENATE("A$",11+MATCH(P6,$A$11:$A$34,0),":A$34")),MATCH(1,IF(INDEX(INDIRECT(CONCATENATE("$B$",11+MATCH(P6,$A$11:$A$34,0),":$I$34")),0,MATCH(M22,$B$1:$I$1,0))=1,INDEX(INDIRECT(CONCATENATE("$B$",11+MATCH(P6,$A$11:$A$34,0),":$I$34")),0,MATCH(N22,$B$1:$I$1,0)),0),0))</f>
        <v>#REF!</v>
      </c>
      <c r="Q22" s="46" t="e">
        <f t="shared" ca="1" si="4"/>
        <v>#REF!</v>
      </c>
    </row>
    <row r="23" spans="1:20">
      <c r="A23" s="51" t="str">
        <f t="array" aca="1" ref="A23" ca="1">(INDEX($J:$J,MIN(IF(COUNTIF(A$10:A22,$J$3:$J$26)=0,ROW($J$3:$J$26))))&amp;"")</f>
        <v/>
      </c>
      <c r="B23" s="52" t="str">
        <f ca="1">IF(ISNA(MATCH($A23,Réservé!B$9:B$12,0)),"",1)</f>
        <v/>
      </c>
      <c r="C23" s="52" t="str">
        <f ca="1">IF(ISNA(MATCH($A23,Réservé!C$9:C$12,0)),"",1)</f>
        <v/>
      </c>
      <c r="D23" s="52" t="str">
        <f ca="1">IF(ISNA(MATCH($A23,Réservé!D$9:D$12,0)),"",1)</f>
        <v/>
      </c>
      <c r="E23" s="52" t="str">
        <f ca="1">IF(ISNA(MATCH($A23,Réservé!E$9:E$12,0)),"",1)</f>
        <v/>
      </c>
      <c r="F23" s="52" t="str">
        <f ca="1">IF(ISNA(MATCH($A23,Réservé!F$9:F$12,0)),"",1)</f>
        <v/>
      </c>
      <c r="G23" s="52" t="str">
        <f ca="1">IF(ISNA(MATCH($A23,Réservé!G$9:G$12,0)),"",1)</f>
        <v/>
      </c>
      <c r="H23" s="52" t="str">
        <f ca="1">IF(ISNA(MATCH($A23,Réservé!H$9:H$12,0)),"",1)</f>
        <v/>
      </c>
      <c r="I23" s="53" t="str">
        <f ca="1">IF(ISNA(MATCH($A23,Réservé!I$9:I$12,0)),"",1)</f>
        <v/>
      </c>
      <c r="J23" s="44" t="e">
        <f ca="1">Réservé!I9</f>
        <v>#REF!</v>
      </c>
      <c r="K23" s="47" t="s">
        <v>82</v>
      </c>
      <c r="L23" s="109"/>
      <c r="M23" s="112" t="s">
        <v>5</v>
      </c>
      <c r="N23" s="112" t="s">
        <v>13</v>
      </c>
      <c r="O23" s="46" t="str">
        <f t="shared" si="8"/>
        <v>DD-SD2-2</v>
      </c>
      <c r="P23" s="46" t="e">
        <f t="array" aca="1" ref="P23" ca="1">INDEX(INDIRECT(CONCATENATE("A$",11+MATCH(P7,$A$11:$A$34,0),":A$34")),MATCH(1,IF(INDEX(INDIRECT(CONCATENATE("$B$",11+MATCH(P7,$A$11:$A$34,0),":$I$34")),0,MATCH(M23,$B$1:$I$1,0))=1,INDEX(INDIRECT(CONCATENATE("$B$",11+MATCH(P7,$A$11:$A$34,0),":$I$34")),0,MATCH(N23,$B$1:$I$1,0)),0),0))</f>
        <v>#REF!</v>
      </c>
      <c r="Q23" s="46" t="e">
        <f t="shared" ca="1" si="4"/>
        <v>#REF!</v>
      </c>
    </row>
    <row r="24" spans="1:20">
      <c r="A24" s="51" t="str">
        <f t="array" aca="1" ref="A24" ca="1">(INDEX($J:$J,MIN(IF(COUNTIF(A$10:A23,$J$3:$J$26)=0,ROW($J$3:$J$26))))&amp;"")</f>
        <v/>
      </c>
      <c r="B24" s="52" t="str">
        <f ca="1">IF(ISNA(MATCH($A24,Réservé!B$9:B$12,0)),"",1)</f>
        <v/>
      </c>
      <c r="C24" s="52" t="str">
        <f ca="1">IF(ISNA(MATCH($A24,Réservé!C$9:C$12,0)),"",1)</f>
        <v/>
      </c>
      <c r="D24" s="52" t="str">
        <f ca="1">IF(ISNA(MATCH($A24,Réservé!D$9:D$12,0)),"",1)</f>
        <v/>
      </c>
      <c r="E24" s="52" t="str">
        <f ca="1">IF(ISNA(MATCH($A24,Réservé!E$9:E$12,0)),"",1)</f>
        <v/>
      </c>
      <c r="F24" s="52" t="str">
        <f ca="1">IF(ISNA(MATCH($A24,Réservé!F$9:F$12,0)),"",1)</f>
        <v/>
      </c>
      <c r="G24" s="52" t="str">
        <f ca="1">IF(ISNA(MATCH($A24,Réservé!G$9:G$12,0)),"",1)</f>
        <v/>
      </c>
      <c r="H24" s="52" t="str">
        <f ca="1">IF(ISNA(MATCH($A24,Réservé!H$9:H$12,0)),"",1)</f>
        <v/>
      </c>
      <c r="I24" s="53" t="str">
        <f ca="1">IF(ISNA(MATCH($A24,Réservé!I$9:I$12,0)),"",1)</f>
        <v/>
      </c>
      <c r="J24" s="44" t="e">
        <f ca="1">Réservé!I10</f>
        <v>#REF!</v>
      </c>
      <c r="K24" s="47" t="s">
        <v>82</v>
      </c>
      <c r="L24" s="109"/>
      <c r="M24" s="112" t="s">
        <v>5</v>
      </c>
      <c r="N24" s="112" t="s">
        <v>18</v>
      </c>
      <c r="O24" s="46" t="str">
        <f t="shared" si="8"/>
        <v>DD-DM1-2</v>
      </c>
      <c r="P24" s="46" t="e">
        <f t="array" aca="1" ref="P24" ca="1">INDEX(INDIRECT(CONCATENATE("A$",11+MATCH(P8,$A$11:$A$34,0),":A$34")),MATCH(1,IF(INDEX(INDIRECT(CONCATENATE("$B$",11+MATCH(P8,$A$11:$A$34,0),":$I$34")),0,MATCH(M24,$B$1:$I$1,0))=1,INDEX(INDIRECT(CONCATENATE("$B$",11+MATCH(P8,$A$11:$A$34,0),":$I$34")),0,MATCH(N24,$B$1:$I$1,0)),0),0))</f>
        <v>#REF!</v>
      </c>
      <c r="Q24" s="46" t="e">
        <f t="shared" ca="1" si="4"/>
        <v>#REF!</v>
      </c>
    </row>
    <row r="25" spans="1:20">
      <c r="A25" s="51" t="str">
        <f t="array" aca="1" ref="A25" ca="1">(INDEX($J:$J,MIN(IF(COUNTIF(A$10:A24,$J$3:$J$26)=0,ROW($J$3:$J$26))))&amp;"")</f>
        <v/>
      </c>
      <c r="B25" s="52" t="str">
        <f ca="1">IF(ISNA(MATCH($A25,Réservé!B$9:B$12,0)),"",1)</f>
        <v/>
      </c>
      <c r="C25" s="52" t="str">
        <f ca="1">IF(ISNA(MATCH($A25,Réservé!C$9:C$12,0)),"",1)</f>
        <v/>
      </c>
      <c r="D25" s="52" t="str">
        <f ca="1">IF(ISNA(MATCH($A25,Réservé!D$9:D$12,0)),"",1)</f>
        <v/>
      </c>
      <c r="E25" s="52" t="str">
        <f ca="1">IF(ISNA(MATCH($A25,Réservé!E$9:E$12,0)),"",1)</f>
        <v/>
      </c>
      <c r="F25" s="52" t="str">
        <f ca="1">IF(ISNA(MATCH($A25,Réservé!F$9:F$12,0)),"",1)</f>
        <v/>
      </c>
      <c r="G25" s="52" t="str">
        <f ca="1">IF(ISNA(MATCH($A25,Réservé!G$9:G$12,0)),"",1)</f>
        <v/>
      </c>
      <c r="H25" s="52" t="str">
        <f ca="1">IF(ISNA(MATCH($A25,Réservé!H$9:H$12,0)),"",1)</f>
        <v/>
      </c>
      <c r="I25" s="53" t="str">
        <f ca="1">IF(ISNA(MATCH($A25,Réservé!I$9:I$12,0)),"",1)</f>
        <v/>
      </c>
      <c r="J25" s="44" t="e">
        <f ca="1">Réservé!I11</f>
        <v>#REF!</v>
      </c>
      <c r="K25" s="47" t="s">
        <v>83</v>
      </c>
      <c r="L25" s="109"/>
      <c r="M25" s="112" t="s">
        <v>5</v>
      </c>
      <c r="N25" s="112" t="s">
        <v>19</v>
      </c>
      <c r="O25" s="46" t="str">
        <f t="shared" si="8"/>
        <v>DD-DM2-2</v>
      </c>
      <c r="P25" s="46" t="e">
        <f t="array" aca="1" ref="P25" ca="1">INDEX(INDIRECT(CONCATENATE("A$",11+MATCH(P9,$A$11:$A$34,0),":A$34")),MATCH(1,IF(INDEX(INDIRECT(CONCATENATE("$B$",11+MATCH(P9,$A$11:$A$34,0),":$I$34")),0,MATCH(M25,$B$1:$I$1,0))=1,INDEX(INDIRECT(CONCATENATE("$B$",11+MATCH(P9,$A$11:$A$34,0),":$I$34")),0,MATCH(N25,$B$1:$I$1,0)),0),0))</f>
        <v>#REF!</v>
      </c>
      <c r="Q25" s="46" t="e">
        <f t="shared" ca="1" si="4"/>
        <v>#REF!</v>
      </c>
    </row>
    <row r="26" spans="1:20">
      <c r="A26" s="51" t="str">
        <f t="array" aca="1" ref="A26" ca="1">(INDEX($J:$J,MIN(IF(COUNTIF(A$10:A25,$J$3:$J$26)=0,ROW($J$3:$J$26))))&amp;"")</f>
        <v/>
      </c>
      <c r="B26" s="52" t="str">
        <f ca="1">IF(ISNA(MATCH($A26,Réservé!B$9:B$12,0)),"",1)</f>
        <v/>
      </c>
      <c r="C26" s="52" t="str">
        <f ca="1">IF(ISNA(MATCH($A26,Réservé!C$9:C$12,0)),"",1)</f>
        <v/>
      </c>
      <c r="D26" s="52" t="str">
        <f ca="1">IF(ISNA(MATCH($A26,Réservé!D$9:D$12,0)),"",1)</f>
        <v/>
      </c>
      <c r="E26" s="52" t="str">
        <f ca="1">IF(ISNA(MATCH($A26,Réservé!E$9:E$12,0)),"",1)</f>
        <v/>
      </c>
      <c r="F26" s="52" t="str">
        <f ca="1">IF(ISNA(MATCH($A26,Réservé!F$9:F$12,0)),"",1)</f>
        <v/>
      </c>
      <c r="G26" s="52" t="str">
        <f ca="1">IF(ISNA(MATCH($A26,Réservé!G$9:G$12,0)),"",1)</f>
        <v/>
      </c>
      <c r="H26" s="52" t="str">
        <f ca="1">IF(ISNA(MATCH($A26,Réservé!H$9:H$12,0)),"",1)</f>
        <v/>
      </c>
      <c r="I26" s="53" t="str">
        <f ca="1">IF(ISNA(MATCH($A26,Réservé!I$9:I$12,0)),"",1)</f>
        <v/>
      </c>
      <c r="J26" s="44" t="e">
        <f ca="1">Réservé!I12</f>
        <v>#REF!</v>
      </c>
      <c r="K26" s="47" t="s">
        <v>83</v>
      </c>
      <c r="L26" s="109"/>
      <c r="M26" s="112" t="s">
        <v>10</v>
      </c>
      <c r="N26" s="112" t="s">
        <v>18</v>
      </c>
      <c r="O26" s="46" t="str">
        <f t="shared" si="8"/>
        <v>SH1-DM1-2</v>
      </c>
      <c r="P26" s="46" t="e">
        <f t="array" aca="1" ref="P26" ca="1">INDEX(INDIRECT(CONCATENATE("A$",11+MATCH(P10,$A$11:$A$34,0),":A$34")),MATCH(1,IF(INDEX(INDIRECT(CONCATENATE("$B$",11+MATCH(P10,$A$11:$A$34,0),":$I$34")),0,MATCH(M26,$B$1:$I$1,0))=1,INDEX(INDIRECT(CONCATENATE("$B$",11+MATCH(P10,$A$11:$A$34,0),":$I$34")),0,MATCH(N26,$B$1:$I$1,0)),0),0))</f>
        <v>#REF!</v>
      </c>
      <c r="Q26" s="46" t="e">
        <f t="shared" ca="1" si="4"/>
        <v>#REF!</v>
      </c>
    </row>
    <row r="27" spans="1:20">
      <c r="A27" s="51" t="str">
        <f t="array" aca="1" ref="A27" ca="1">(INDEX($J:$J,MIN(IF(COUNTIF(A$10:A26,$J$3:$J$26)=0,ROW($J$3:$J$26))))&amp;"")</f>
        <v/>
      </c>
      <c r="B27" s="52" t="str">
        <f ca="1">IF(ISNA(MATCH($A27,Réservé!B$9:B$12,0)),"",1)</f>
        <v/>
      </c>
      <c r="C27" s="52" t="str">
        <f ca="1">IF(ISNA(MATCH($A27,Réservé!C$9:C$12,0)),"",1)</f>
        <v/>
      </c>
      <c r="D27" s="52" t="str">
        <f ca="1">IF(ISNA(MATCH($A27,Réservé!D$9:D$12,0)),"",1)</f>
        <v/>
      </c>
      <c r="E27" s="52" t="str">
        <f ca="1">IF(ISNA(MATCH($A27,Réservé!E$9:E$12,0)),"",1)</f>
        <v/>
      </c>
      <c r="F27" s="52" t="str">
        <f ca="1">IF(ISNA(MATCH($A27,Réservé!F$9:F$12,0)),"",1)</f>
        <v/>
      </c>
      <c r="G27" s="52" t="str">
        <f ca="1">IF(ISNA(MATCH($A27,Réservé!G$9:G$12,0)),"",1)</f>
        <v/>
      </c>
      <c r="H27" s="52" t="str">
        <f ca="1">IF(ISNA(MATCH($A27,Réservé!H$9:H$12,0)),"",1)</f>
        <v/>
      </c>
      <c r="I27" s="53" t="str">
        <f ca="1">IF(ISNA(MATCH($A27,Réservé!I$9:I$12,0)),"",1)</f>
        <v/>
      </c>
      <c r="L27" s="107"/>
      <c r="M27" s="112" t="s">
        <v>10</v>
      </c>
      <c r="N27" s="112" t="s">
        <v>19</v>
      </c>
      <c r="O27" s="46" t="str">
        <f t="shared" si="8"/>
        <v>SH1-DM2-2</v>
      </c>
      <c r="P27" s="46" t="e">
        <f t="array" aca="1" ref="P27" ca="1">INDEX(INDIRECT(CONCATENATE("A$",11+MATCH(P11,$A$11:$A$34,0),":A$34")),MATCH(1,IF(INDEX(INDIRECT(CONCATENATE("$B$",11+MATCH(P11,$A$11:$A$34,0),":$I$34")),0,MATCH(M27,$B$1:$I$1,0))=1,INDEX(INDIRECT(CONCATENATE("$B$",11+MATCH(P11,$A$11:$A$34,0),":$I$34")),0,MATCH(N27,$B$1:$I$1,0)),0),0))</f>
        <v>#REF!</v>
      </c>
      <c r="Q27" s="46" t="e">
        <f t="shared" ca="1" si="4"/>
        <v>#REF!</v>
      </c>
    </row>
    <row r="28" spans="1:20">
      <c r="A28" s="51" t="str">
        <f t="array" aca="1" ref="A28" ca="1">(INDEX($J:$J,MIN(IF(COUNTIF(A$10:A27,$J$3:$J$26)=0,ROW($J$3:$J$26))))&amp;"")</f>
        <v/>
      </c>
      <c r="B28" s="52" t="str">
        <f ca="1">IF(ISNA(MATCH($A28,Réservé!B$9:B$12,0)),"",1)</f>
        <v/>
      </c>
      <c r="C28" s="52" t="str">
        <f ca="1">IF(ISNA(MATCH($A28,Réservé!C$9:C$12,0)),"",1)</f>
        <v/>
      </c>
      <c r="D28" s="52" t="str">
        <f ca="1">IF(ISNA(MATCH($A28,Réservé!D$9:D$12,0)),"",1)</f>
        <v/>
      </c>
      <c r="E28" s="52" t="str">
        <f ca="1">IF(ISNA(MATCH($A28,Réservé!E$9:E$12,0)),"",1)</f>
        <v/>
      </c>
      <c r="F28" s="52" t="str">
        <f ca="1">IF(ISNA(MATCH($A28,Réservé!F$9:F$12,0)),"",1)</f>
        <v/>
      </c>
      <c r="G28" s="52" t="str">
        <f ca="1">IF(ISNA(MATCH($A28,Réservé!G$9:G$12,0)),"",1)</f>
        <v/>
      </c>
      <c r="H28" s="52" t="str">
        <f ca="1">IF(ISNA(MATCH($A28,Réservé!H$9:H$12,0)),"",1)</f>
        <v/>
      </c>
      <c r="I28" s="53" t="str">
        <f ca="1">IF(ISNA(MATCH($A28,Réservé!I$9:I$12,0)),"",1)</f>
        <v/>
      </c>
      <c r="L28" s="107"/>
      <c r="M28" s="112" t="s">
        <v>11</v>
      </c>
      <c r="N28" s="112" t="s">
        <v>18</v>
      </c>
      <c r="O28" s="46" t="str">
        <f t="shared" si="8"/>
        <v>SH2-DM1-2</v>
      </c>
      <c r="P28" s="46" t="e">
        <f t="array" aca="1" ref="P28" ca="1">INDEX(INDIRECT(CONCATENATE("A$",11+MATCH(P12,$A$11:$A$34,0),":A$34")),MATCH(1,IF(INDEX(INDIRECT(CONCATENATE("$B$",11+MATCH(P12,$A$11:$A$34,0),":$I$34")),0,MATCH(M28,$B$1:$I$1,0))=1,INDEX(INDIRECT(CONCATENATE("$B$",11+MATCH(P12,$A$11:$A$34,0),":$I$34")),0,MATCH(N28,$B$1:$I$1,0)),0),0))</f>
        <v>#REF!</v>
      </c>
      <c r="Q28" s="46" t="e">
        <f t="shared" ca="1" si="4"/>
        <v>#REF!</v>
      </c>
    </row>
    <row r="29" spans="1:20">
      <c r="A29" s="51" t="str">
        <f t="array" aca="1" ref="A29" ca="1">(INDEX($J:$J,MIN(IF(COUNTIF(A$10:A28,$J$3:$J$26)=0,ROW($J$3:$J$26))))&amp;"")</f>
        <v/>
      </c>
      <c r="B29" s="52" t="str">
        <f ca="1">IF(ISNA(MATCH($A29,Réservé!B$9:B$12,0)),"",1)</f>
        <v/>
      </c>
      <c r="C29" s="52" t="str">
        <f ca="1">IF(ISNA(MATCH($A29,Réservé!C$9:C$12,0)),"",1)</f>
        <v/>
      </c>
      <c r="D29" s="52" t="str">
        <f ca="1">IF(ISNA(MATCH($A29,Réservé!D$9:D$12,0)),"",1)</f>
        <v/>
      </c>
      <c r="E29" s="52" t="str">
        <f ca="1">IF(ISNA(MATCH($A29,Réservé!E$9:E$12,0)),"",1)</f>
        <v/>
      </c>
      <c r="F29" s="52" t="str">
        <f ca="1">IF(ISNA(MATCH($A29,Réservé!F$9:F$12,0)),"",1)</f>
        <v/>
      </c>
      <c r="G29" s="52" t="str">
        <f ca="1">IF(ISNA(MATCH($A29,Réservé!G$9:G$12,0)),"",1)</f>
        <v/>
      </c>
      <c r="H29" s="52" t="str">
        <f ca="1">IF(ISNA(MATCH($A29,Réservé!H$9:H$12,0)),"",1)</f>
        <v/>
      </c>
      <c r="I29" s="53" t="str">
        <f ca="1">IF(ISNA(MATCH($A29,Réservé!I$9:I$12,0)),"",1)</f>
        <v/>
      </c>
      <c r="L29" s="107"/>
      <c r="M29" s="112" t="s">
        <v>11</v>
      </c>
      <c r="N29" s="112" t="s">
        <v>19</v>
      </c>
      <c r="O29" s="46" t="str">
        <f t="shared" si="8"/>
        <v>SH2-DM2-2</v>
      </c>
      <c r="P29" s="46" t="e">
        <f t="array" aca="1" ref="P29" ca="1">INDEX(INDIRECT(CONCATENATE("A$",11+MATCH(P13,$A$11:$A$34,0),":A$34")),MATCH(1,IF(INDEX(INDIRECT(CONCATENATE("$B$",11+MATCH(P13,$A$11:$A$34,0),":$I$34")),0,MATCH(M29,$B$1:$I$1,0))=1,INDEX(INDIRECT(CONCATENATE("$B$",11+MATCH(P13,$A$11:$A$34,0),":$I$34")),0,MATCH(N29,$B$1:$I$1,0)),0),0))</f>
        <v>#REF!</v>
      </c>
      <c r="Q29" s="46" t="e">
        <f t="shared" ca="1" si="4"/>
        <v>#REF!</v>
      </c>
    </row>
    <row r="30" spans="1:20">
      <c r="A30" s="51" t="str">
        <f t="array" aca="1" ref="A30" ca="1">(INDEX($J:$J,MIN(IF(COUNTIF(A$10:A29,$J$3:$J$26)=0,ROW($J$3:$J$26))))&amp;"")</f>
        <v/>
      </c>
      <c r="B30" s="52" t="str">
        <f ca="1">IF(ISNA(MATCH($A30,Réservé!B$9:B$12,0)),"",1)</f>
        <v/>
      </c>
      <c r="C30" s="52" t="str">
        <f ca="1">IF(ISNA(MATCH($A30,Réservé!C$9:C$12,0)),"",1)</f>
        <v/>
      </c>
      <c r="D30" s="52" t="str">
        <f ca="1">IF(ISNA(MATCH($A30,Réservé!D$9:D$12,0)),"",1)</f>
        <v/>
      </c>
      <c r="E30" s="52" t="str">
        <f ca="1">IF(ISNA(MATCH($A30,Réservé!E$9:E$12,0)),"",1)</f>
        <v/>
      </c>
      <c r="F30" s="52" t="str">
        <f ca="1">IF(ISNA(MATCH($A30,Réservé!F$9:F$12,0)),"",1)</f>
        <v/>
      </c>
      <c r="G30" s="52" t="str">
        <f ca="1">IF(ISNA(MATCH($A30,Réservé!G$9:G$12,0)),"",1)</f>
        <v/>
      </c>
      <c r="H30" s="52" t="str">
        <f ca="1">IF(ISNA(MATCH($A30,Réservé!H$9:H$12,0)),"",1)</f>
        <v/>
      </c>
      <c r="I30" s="53" t="str">
        <f ca="1">IF(ISNA(MATCH($A30,Réservé!I$9:I$12,0)),"",1)</f>
        <v/>
      </c>
      <c r="L30" s="107"/>
      <c r="M30" s="112" t="s">
        <v>12</v>
      </c>
      <c r="N30" s="112" t="s">
        <v>18</v>
      </c>
      <c r="O30" s="46" t="str">
        <f t="shared" si="8"/>
        <v>SD1-DM1-2</v>
      </c>
      <c r="P30" s="46" t="e">
        <f t="array" aca="1" ref="P30" ca="1">INDEX(INDIRECT(CONCATENATE("A$",11+MATCH(P14,$A$11:$A$34,0),":A$34")),MATCH(1,IF(INDEX(INDIRECT(CONCATENATE("$B$",11+MATCH(P14,$A$11:$A$34,0),":$I$34")),0,MATCH(M30,$B$1:$I$1,0))=1,INDEX(INDIRECT(CONCATENATE("$B$",11+MATCH(P14,$A$11:$A$34,0),":$I$34")),0,MATCH(N30,$B$1:$I$1,0)),0),0))</f>
        <v>#REF!</v>
      </c>
      <c r="Q30" s="46" t="e">
        <f t="shared" ca="1" si="4"/>
        <v>#REF!</v>
      </c>
    </row>
    <row r="31" spans="1:20">
      <c r="A31" s="51" t="str">
        <f t="array" aca="1" ref="A31" ca="1">(INDEX($J:$J,MIN(IF(COUNTIF(A$10:A30,$J$3:$J$26)=0,ROW($J$3:$J$26))))&amp;"")</f>
        <v/>
      </c>
      <c r="B31" s="52" t="str">
        <f ca="1">IF(ISNA(MATCH($A31,Réservé!B$9:B$12,0)),"",1)</f>
        <v/>
      </c>
      <c r="C31" s="52" t="str">
        <f ca="1">IF(ISNA(MATCH($A31,Réservé!C$9:C$12,0)),"",1)</f>
        <v/>
      </c>
      <c r="D31" s="52" t="str">
        <f ca="1">IF(ISNA(MATCH($A31,Réservé!D$9:D$12,0)),"",1)</f>
        <v/>
      </c>
      <c r="E31" s="52" t="str">
        <f ca="1">IF(ISNA(MATCH($A31,Réservé!E$9:E$12,0)),"",1)</f>
        <v/>
      </c>
      <c r="F31" s="52" t="str">
        <f ca="1">IF(ISNA(MATCH($A31,Réservé!F$9:F$12,0)),"",1)</f>
        <v/>
      </c>
      <c r="G31" s="52" t="str">
        <f ca="1">IF(ISNA(MATCH($A31,Réservé!G$9:G$12,0)),"",1)</f>
        <v/>
      </c>
      <c r="H31" s="52" t="str">
        <f ca="1">IF(ISNA(MATCH($A31,Réservé!H$9:H$12,0)),"",1)</f>
        <v/>
      </c>
      <c r="I31" s="53" t="str">
        <f ca="1">IF(ISNA(MATCH($A31,Réservé!I$9:I$12,0)),"",1)</f>
        <v/>
      </c>
      <c r="L31" s="107"/>
      <c r="M31" s="112" t="s">
        <v>12</v>
      </c>
      <c r="N31" s="112" t="s">
        <v>19</v>
      </c>
      <c r="O31" s="46" t="str">
        <f t="shared" si="8"/>
        <v>SD1-DM2-2</v>
      </c>
      <c r="P31" s="46" t="e">
        <f t="array" aca="1" ref="P31" ca="1">INDEX(INDIRECT(CONCATENATE("A$",11+MATCH(P15,$A$11:$A$34,0),":A$34")),MATCH(1,IF(INDEX(INDIRECT(CONCATENATE("$B$",11+MATCH(P15,$A$11:$A$34,0),":$I$34")),0,MATCH(M31,$B$1:$I$1,0))=1,INDEX(INDIRECT(CONCATENATE("$B$",11+MATCH(P15,$A$11:$A$34,0),":$I$34")),0,MATCH(N31,$B$1:$I$1,0)),0),0))</f>
        <v>#REF!</v>
      </c>
      <c r="Q31" s="46" t="e">
        <f t="shared" ca="1" si="4"/>
        <v>#REF!</v>
      </c>
    </row>
    <row r="32" spans="1:20">
      <c r="A32" s="51" t="str">
        <f t="array" aca="1" ref="A32" ca="1">(INDEX($J:$J,MIN(IF(COUNTIF(A$10:A31,$J$3:$J$26)=0,ROW($J$3:$J$26))))&amp;"")</f>
        <v/>
      </c>
      <c r="B32" s="52" t="str">
        <f ca="1">IF(ISNA(MATCH($A32,Réservé!B$9:B$12,0)),"",1)</f>
        <v/>
      </c>
      <c r="C32" s="52" t="str">
        <f ca="1">IF(ISNA(MATCH($A32,Réservé!C$9:C$12,0)),"",1)</f>
        <v/>
      </c>
      <c r="D32" s="52" t="str">
        <f ca="1">IF(ISNA(MATCH($A32,Réservé!D$9:D$12,0)),"",1)</f>
        <v/>
      </c>
      <c r="E32" s="52" t="str">
        <f ca="1">IF(ISNA(MATCH($A32,Réservé!E$9:E$12,0)),"",1)</f>
        <v/>
      </c>
      <c r="F32" s="52" t="str">
        <f ca="1">IF(ISNA(MATCH($A32,Réservé!F$9:F$12,0)),"",1)</f>
        <v/>
      </c>
      <c r="G32" s="52" t="str">
        <f ca="1">IF(ISNA(MATCH($A32,Réservé!G$9:G$12,0)),"",1)</f>
        <v/>
      </c>
      <c r="H32" s="52" t="str">
        <f ca="1">IF(ISNA(MATCH($A32,Réservé!H$9:H$12,0)),"",1)</f>
        <v/>
      </c>
      <c r="I32" s="53" t="str">
        <f ca="1">IF(ISNA(MATCH($A32,Réservé!I$9:I$12,0)),"",1)</f>
        <v/>
      </c>
      <c r="L32" s="107"/>
      <c r="M32" s="112" t="s">
        <v>13</v>
      </c>
      <c r="N32" s="112" t="s">
        <v>18</v>
      </c>
      <c r="O32" s="46" t="str">
        <f t="shared" si="8"/>
        <v>SD2-DM1-2</v>
      </c>
      <c r="P32" s="46" t="e">
        <f t="array" aca="1" ref="P32" ca="1">INDEX(INDIRECT(CONCATENATE("A$",11+MATCH(P16,$A$11:$A$34,0),":A$34")),MATCH(1,IF(INDEX(INDIRECT(CONCATENATE("$B$",11+MATCH(P16,$A$11:$A$34,0),":$I$34")),0,MATCH(M32,$B$1:$I$1,0))=1,INDEX(INDIRECT(CONCATENATE("$B$",11+MATCH(P16,$A$11:$A$34,0),":$I$34")),0,MATCH(N32,$B$1:$I$1,0)),0),0))</f>
        <v>#REF!</v>
      </c>
      <c r="Q32" s="46" t="e">
        <f t="shared" ca="1" si="4"/>
        <v>#REF!</v>
      </c>
    </row>
    <row r="33" spans="1:21">
      <c r="A33" s="51" t="str">
        <f t="array" aca="1" ref="A33" ca="1">(INDEX($J:$J,MIN(IF(COUNTIF(A$10:A32,$J$3:$J$26)=0,ROW($J$3:$J$26))))&amp;"")</f>
        <v/>
      </c>
      <c r="B33" s="52" t="str">
        <f ca="1">IF(ISNA(MATCH($A33,Réservé!B$9:B$12,0)),"",1)</f>
        <v/>
      </c>
      <c r="C33" s="52" t="str">
        <f ca="1">IF(ISNA(MATCH($A33,Réservé!C$9:C$12,0)),"",1)</f>
        <v/>
      </c>
      <c r="D33" s="52" t="str">
        <f ca="1">IF(ISNA(MATCH($A33,Réservé!D$9:D$12,0)),"",1)</f>
        <v/>
      </c>
      <c r="E33" s="52" t="str">
        <f ca="1">IF(ISNA(MATCH($A33,Réservé!E$9:E$12,0)),"",1)</f>
        <v/>
      </c>
      <c r="F33" s="52" t="str">
        <f ca="1">IF(ISNA(MATCH($A33,Réservé!F$9:F$12,0)),"",1)</f>
        <v/>
      </c>
      <c r="G33" s="52" t="str">
        <f ca="1">IF(ISNA(MATCH($A33,Réservé!G$9:G$12,0)),"",1)</f>
        <v/>
      </c>
      <c r="H33" s="52" t="str">
        <f ca="1">IF(ISNA(MATCH($A33,Réservé!H$9:H$12,0)),"",1)</f>
        <v/>
      </c>
      <c r="I33" s="53" t="str">
        <f ca="1">IF(ISNA(MATCH($A33,Réservé!I$9:I$12,0)),"",1)</f>
        <v/>
      </c>
      <c r="L33" s="107"/>
      <c r="M33" s="112" t="s">
        <v>13</v>
      </c>
      <c r="N33" s="112" t="s">
        <v>19</v>
      </c>
      <c r="O33" s="46" t="str">
        <f t="shared" si="8"/>
        <v>SD2-DM2-2</v>
      </c>
      <c r="P33" s="46" t="e">
        <f t="array" aca="1" ref="P33" ca="1">INDEX(INDIRECT(CONCATENATE("A$",11+MATCH(P17,$A$11:$A$34,0),":A$34")),MATCH(1,IF(INDEX(INDIRECT(CONCATENATE("$B$",11+MATCH(P17,$A$11:$A$34,0),":$I$34")),0,MATCH(M33,$B$1:$I$1,0))=1,INDEX(INDIRECT(CONCATENATE("$B$",11+MATCH(P17,$A$11:$A$34,0),":$I$34")),0,MATCH(N33,$B$1:$I$1,0)),0),0))</f>
        <v>#REF!</v>
      </c>
      <c r="Q33" s="46" t="e">
        <f t="shared" ca="1" si="4"/>
        <v>#REF!</v>
      </c>
    </row>
    <row r="34" spans="1:21">
      <c r="A34" s="54" t="str">
        <f t="array" aca="1" ref="A34" ca="1">(INDEX($J:$J,MIN(IF(COUNTIF(A$10:A33,$J$3:$J$26)=0,ROW($J$3:$J$26))))&amp;"")</f>
        <v/>
      </c>
      <c r="B34" s="55" t="str">
        <f ca="1">IF(ISNA(MATCH($A34,Réservé!B$9:B$12,0)),"",1)</f>
        <v/>
      </c>
      <c r="C34" s="55" t="str">
        <f ca="1">IF(ISNA(MATCH($A34,Réservé!C$9:C$12,0)),"",1)</f>
        <v/>
      </c>
      <c r="D34" s="55" t="str">
        <f ca="1">IF(ISNA(MATCH($A34,Réservé!D$9:D$12,0)),"",1)</f>
        <v/>
      </c>
      <c r="E34" s="55" t="str">
        <f ca="1">IF(ISNA(MATCH($A34,Réservé!E$9:E$12,0)),"",1)</f>
        <v/>
      </c>
      <c r="F34" s="55" t="str">
        <f ca="1">IF(ISNA(MATCH($A34,Réservé!F$9:F$12,0)),"",1)</f>
        <v/>
      </c>
      <c r="G34" s="55" t="str">
        <f ca="1">IF(ISNA(MATCH($A34,Réservé!G$9:G$12,0)),"",1)</f>
        <v/>
      </c>
      <c r="H34" s="55" t="str">
        <f ca="1">IF(ISNA(MATCH($A34,Réservé!H$9:H$12,0)),"",1)</f>
        <v/>
      </c>
      <c r="I34" s="56" t="str">
        <f ca="1">IF(ISNA(MATCH($A34,Réservé!I$9:I$12,0)),"",1)</f>
        <v/>
      </c>
      <c r="U34" s="45"/>
    </row>
  </sheetData>
  <sortState ref="O2:U33">
    <sortCondition ref="U2:U33"/>
  </sortState>
  <conditionalFormatting sqref="P2:P33">
    <cfRule type="expression" dxfId="1" priority="1">
      <formula>IF($Q2="Visiteur",TRUE,FALSE)</formula>
    </cfRule>
    <cfRule type="expression" dxfId="0" priority="2">
      <formula>IF($Q2="Hôte",TRUE,FALSE)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pageSetUpPr fitToPage="1"/>
  </sheetPr>
  <dimension ref="B10:B34"/>
  <sheetViews>
    <sheetView zoomScale="115" zoomScaleNormal="115" workbookViewId="0">
      <selection activeCell="I12" sqref="A1:XFD1048576"/>
    </sheetView>
  </sheetViews>
  <sheetFormatPr baseColWidth="10" defaultRowHeight="12.75"/>
  <cols>
    <col min="1" max="1" width="8.140625" style="65" customWidth="1"/>
    <col min="2" max="2" width="14.140625" style="65" customWidth="1"/>
    <col min="3" max="3" width="18.7109375" style="65" customWidth="1"/>
    <col min="4" max="16384" width="11.42578125" style="65"/>
  </cols>
  <sheetData>
    <row r="10" spans="2:2">
      <c r="B10" s="66"/>
    </row>
    <row r="11" spans="2:2">
      <c r="B11" s="67"/>
    </row>
    <row r="12" spans="2:2">
      <c r="B12" s="67"/>
    </row>
    <row r="13" spans="2:2">
      <c r="B13" s="67"/>
    </row>
    <row r="14" spans="2:2">
      <c r="B14" s="67"/>
    </row>
    <row r="15" spans="2:2">
      <c r="B15" s="67"/>
    </row>
    <row r="16" spans="2:2">
      <c r="B16" s="67"/>
    </row>
    <row r="17" spans="2:2">
      <c r="B17" s="67"/>
    </row>
    <row r="18" spans="2:2">
      <c r="B18" s="67"/>
    </row>
    <row r="19" spans="2:2">
      <c r="B19" s="67"/>
    </row>
    <row r="20" spans="2:2">
      <c r="B20" s="67"/>
    </row>
    <row r="21" spans="2:2">
      <c r="B21" s="67"/>
    </row>
    <row r="22" spans="2:2">
      <c r="B22" s="67"/>
    </row>
    <row r="23" spans="2:2">
      <c r="B23" s="67"/>
    </row>
    <row r="24" spans="2:2">
      <c r="B24" s="67"/>
    </row>
    <row r="25" spans="2:2">
      <c r="B25" s="67"/>
    </row>
    <row r="26" spans="2:2">
      <c r="B26" s="67"/>
    </row>
    <row r="27" spans="2:2">
      <c r="B27" s="67"/>
    </row>
    <row r="28" spans="2:2">
      <c r="B28" s="67"/>
    </row>
    <row r="29" spans="2:2">
      <c r="B29" s="67"/>
    </row>
    <row r="30" spans="2:2">
      <c r="B30" s="67"/>
    </row>
    <row r="31" spans="2:2">
      <c r="B31" s="67"/>
    </row>
    <row r="32" spans="2:2">
      <c r="B32" s="67"/>
    </row>
    <row r="33" spans="2:2">
      <c r="B33" s="67"/>
    </row>
    <row r="34" spans="2:2">
      <c r="B34" s="67"/>
    </row>
  </sheetData>
  <pageMargins left="0.7" right="0.7" top="0.75" bottom="0.75" header="0.3" footer="0.3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Q661"/>
  <sheetViews>
    <sheetView zoomScale="70" zoomScaleNormal="70" workbookViewId="0">
      <pane ySplit="7" topLeftCell="A579" activePane="bottomLeft" state="frozen"/>
      <selection pane="bottomLeft" activeCell="S586" sqref="S586"/>
    </sheetView>
  </sheetViews>
  <sheetFormatPr baseColWidth="10" defaultRowHeight="15"/>
  <cols>
    <col min="1" max="2" width="10.42578125" customWidth="1"/>
    <col min="3" max="3" width="8.140625" customWidth="1"/>
    <col min="4" max="4" width="6.140625" customWidth="1"/>
    <col min="5" max="5" width="8.140625" style="129" customWidth="1"/>
    <col min="6" max="7" width="21.42578125" customWidth="1"/>
    <col min="8" max="8" width="7.140625" customWidth="1"/>
    <col min="9" max="9" width="6.7109375" customWidth="1"/>
    <col min="10" max="11" width="7.85546875" customWidth="1"/>
    <col min="12" max="12" width="8.7109375" bestFit="1" customWidth="1"/>
    <col min="13" max="13" width="5.42578125" customWidth="1"/>
    <col min="14" max="14" width="22.85546875" customWidth="1"/>
    <col min="15" max="15" width="6.5703125" customWidth="1"/>
    <col min="16" max="16" width="5.28515625" customWidth="1"/>
    <col min="17" max="17" width="5.7109375" customWidth="1"/>
  </cols>
  <sheetData>
    <row r="1" spans="1:17">
      <c r="A1" t="s">
        <v>185</v>
      </c>
      <c r="B1" s="148" t="s">
        <v>90</v>
      </c>
      <c r="C1" s="148" t="s">
        <v>89</v>
      </c>
      <c r="D1" s="149" t="s">
        <v>88</v>
      </c>
      <c r="E1" s="148" t="s">
        <v>82</v>
      </c>
      <c r="F1" s="148" t="s">
        <v>93</v>
      </c>
      <c r="G1" s="148" t="s">
        <v>94</v>
      </c>
      <c r="H1" s="148" t="s">
        <v>95</v>
      </c>
      <c r="I1" s="148" t="s">
        <v>102</v>
      </c>
      <c r="J1" s="148" t="s">
        <v>103</v>
      </c>
      <c r="K1" s="148" t="s">
        <v>100</v>
      </c>
      <c r="L1" s="148" t="s">
        <v>101</v>
      </c>
      <c r="M1" s="148"/>
      <c r="N1" t="s">
        <v>104</v>
      </c>
      <c r="O1" t="s">
        <v>99</v>
      </c>
      <c r="P1" t="s">
        <v>105</v>
      </c>
      <c r="Q1" t="s">
        <v>106</v>
      </c>
    </row>
    <row r="2" spans="1:17">
      <c r="A2" s="150">
        <v>1</v>
      </c>
      <c r="B2" s="150" t="s">
        <v>110</v>
      </c>
      <c r="C2" s="150">
        <v>2</v>
      </c>
      <c r="D2" s="151" t="s">
        <v>243</v>
      </c>
      <c r="E2" s="151" t="s">
        <v>186</v>
      </c>
      <c r="F2" s="150" t="s">
        <v>215</v>
      </c>
      <c r="G2" s="150"/>
      <c r="H2" s="150"/>
      <c r="I2" s="150"/>
      <c r="J2" s="150"/>
      <c r="K2" s="150"/>
      <c r="L2" s="150"/>
      <c r="M2" s="150"/>
      <c r="N2" t="e">
        <f t="array" aca="1" ref="N2" ca="1">INDEX($F:$F,MIN(IF(($B$2:$B$661=INDIRECT(Réservé!$N$5&amp;"G4"))*($C$2:$C$661=INDIRECT(Réservé!$N$5&amp;"G5"))*(COUNTIF(N$1:N1,$F$2:$F$661)=0),ROW($F$2:$F$661)))&amp;"")</f>
        <v>#REF!</v>
      </c>
      <c r="O2">
        <f t="shared" ref="O2:O7" ca="1" si="0">SUMIF(E:E,N2,K:K)+SUMIF(F:F,N2,L:L)</f>
        <v>0</v>
      </c>
      <c r="P2">
        <f t="shared" ref="P2:P7" ca="1" si="1">RANK(O2,O$2:O$7)</f>
        <v>1</v>
      </c>
      <c r="Q2">
        <f ca="1">P2+COUNTIF(P$1:P1,P2)</f>
        <v>1</v>
      </c>
    </row>
    <row r="3" spans="1:17">
      <c r="A3" s="150">
        <v>2</v>
      </c>
      <c r="B3" s="150" t="s">
        <v>110</v>
      </c>
      <c r="C3" s="150">
        <v>2</v>
      </c>
      <c r="D3" s="151" t="s">
        <v>243</v>
      </c>
      <c r="E3" s="151" t="s">
        <v>187</v>
      </c>
      <c r="F3" s="150" t="s">
        <v>112</v>
      </c>
      <c r="G3" s="150"/>
      <c r="H3" s="150"/>
      <c r="I3" s="150"/>
      <c r="J3" s="150"/>
      <c r="K3" s="150"/>
      <c r="L3" s="150"/>
      <c r="M3" s="150"/>
      <c r="N3" t="e">
        <f t="array" aca="1" ref="N3" ca="1">INDEX($F:$F,MIN(IF(($B$2:$B$661=INDIRECT(Réservé!$N$5&amp;"G4"))*($C$2:$C$661=INDIRECT(Réservé!$N$5&amp;"G5"))*(COUNTIF(N$1:N2,$F$2:$F$661)=0),ROW($F$2:$F$661)))&amp;"")</f>
        <v>#REF!</v>
      </c>
      <c r="O3">
        <f t="shared" ca="1" si="0"/>
        <v>0</v>
      </c>
      <c r="P3">
        <f t="shared" ca="1" si="1"/>
        <v>1</v>
      </c>
      <c r="Q3">
        <f ca="1">P3+COUNTIF(P$1:P2,P3)</f>
        <v>2</v>
      </c>
    </row>
    <row r="4" spans="1:17">
      <c r="A4" s="150">
        <v>3</v>
      </c>
      <c r="B4" s="150" t="s">
        <v>111</v>
      </c>
      <c r="C4" s="150">
        <v>3</v>
      </c>
      <c r="D4" s="151" t="s">
        <v>243</v>
      </c>
      <c r="E4" s="151" t="s">
        <v>190</v>
      </c>
      <c r="F4" s="150" t="s">
        <v>169</v>
      </c>
      <c r="G4" s="150"/>
      <c r="H4" s="150"/>
      <c r="I4" s="150"/>
      <c r="J4" s="150"/>
      <c r="K4" s="150"/>
      <c r="L4" s="150"/>
      <c r="M4" s="150"/>
      <c r="N4" t="e">
        <f t="array" aca="1" ref="N4" ca="1">INDEX($F:$F,MIN(IF(($B$2:$B$661=INDIRECT(Réservé!$N$5&amp;"G4"))*($C$2:$C$661=INDIRECT(Réservé!$N$5&amp;"G5"))*(COUNTIF(N$1:N3,$F$2:$F$661)=0),ROW($F$2:$F$661)))&amp;"")</f>
        <v>#REF!</v>
      </c>
      <c r="O4">
        <f t="shared" ca="1" si="0"/>
        <v>0</v>
      </c>
      <c r="P4">
        <f t="shared" ca="1" si="1"/>
        <v>1</v>
      </c>
      <c r="Q4">
        <f ca="1">P4+COUNTIF(P$1:P3,P4)</f>
        <v>3</v>
      </c>
    </row>
    <row r="5" spans="1:17">
      <c r="A5" s="150">
        <v>4</v>
      </c>
      <c r="B5" s="150" t="s">
        <v>111</v>
      </c>
      <c r="C5" s="150">
        <v>2</v>
      </c>
      <c r="D5" s="151" t="s">
        <v>243</v>
      </c>
      <c r="E5" s="151" t="s">
        <v>114</v>
      </c>
      <c r="F5" s="150" t="s">
        <v>179</v>
      </c>
      <c r="G5" s="150"/>
      <c r="H5" s="150"/>
      <c r="I5" s="150"/>
      <c r="J5" s="150"/>
      <c r="K5" s="150"/>
      <c r="L5" s="150"/>
      <c r="M5" s="150"/>
      <c r="N5" t="e">
        <f t="array" aca="1" ref="N5" ca="1">INDEX($F:$F,MIN(IF(($B$2:$B$661=INDIRECT(Réservé!$N$5&amp;"G4"))*($C$2:$C$661=INDIRECT(Réservé!$N$5&amp;"G5"))*(COUNTIF(N$1:N4,$F$2:$F$661)=0),ROW($F$2:$F$661)))&amp;"")</f>
        <v>#REF!</v>
      </c>
      <c r="O5">
        <f t="shared" ca="1" si="0"/>
        <v>0</v>
      </c>
      <c r="P5">
        <f t="shared" ca="1" si="1"/>
        <v>1</v>
      </c>
      <c r="Q5">
        <f ca="1">P5+COUNTIF(P$1:P4,P5)</f>
        <v>4</v>
      </c>
    </row>
    <row r="6" spans="1:17">
      <c r="A6" s="150">
        <v>5</v>
      </c>
      <c r="B6" s="150" t="s">
        <v>191</v>
      </c>
      <c r="C6" s="150">
        <v>1</v>
      </c>
      <c r="D6" s="151" t="s">
        <v>243</v>
      </c>
      <c r="E6" s="151" t="s">
        <v>98</v>
      </c>
      <c r="F6" s="150" t="s">
        <v>135</v>
      </c>
      <c r="G6" s="150"/>
      <c r="H6" s="150"/>
      <c r="I6" s="150"/>
      <c r="J6" s="150"/>
      <c r="K6" s="150"/>
      <c r="L6" s="150"/>
      <c r="M6" s="150"/>
      <c r="N6" t="e">
        <f t="array" aca="1" ref="N6" ca="1">INDEX($F:$F,MIN(IF(($B$2:$B$661=INDIRECT(Réservé!$N$5&amp;"G4"))*($C$2:$C$661=INDIRECT(Réservé!$N$5&amp;"G5"))*(COUNTIF(N$1:N5,$F$2:$F$661)=0),ROW($F$2:$F$661)))&amp;"")</f>
        <v>#REF!</v>
      </c>
      <c r="O6">
        <f t="shared" ca="1" si="0"/>
        <v>0</v>
      </c>
      <c r="P6">
        <f t="shared" ca="1" si="1"/>
        <v>1</v>
      </c>
      <c r="Q6">
        <f ca="1">P6+COUNTIF(P$1:P5,P6)</f>
        <v>5</v>
      </c>
    </row>
    <row r="7" spans="1:17">
      <c r="A7" s="150">
        <v>6</v>
      </c>
      <c r="B7" s="150" t="s">
        <v>111</v>
      </c>
      <c r="C7" s="150">
        <v>2</v>
      </c>
      <c r="D7" s="151" t="s">
        <v>243</v>
      </c>
      <c r="E7" s="151" t="s">
        <v>119</v>
      </c>
      <c r="F7" s="150" t="s">
        <v>116</v>
      </c>
      <c r="G7" s="150"/>
      <c r="H7" s="150"/>
      <c r="I7" s="150"/>
      <c r="J7" s="150"/>
      <c r="K7" s="150"/>
      <c r="L7" s="150"/>
      <c r="M7" s="150"/>
      <c r="N7" t="e">
        <f t="array" aca="1" ref="N7" ca="1">INDEX($F:$F,MIN(IF(($B$2:$B$661=INDIRECT(Réservé!$N$5&amp;"G4"))*($C$2:$C$661=INDIRECT(Réservé!$N$5&amp;"G5"))*(COUNTIF(N$1:N6,$F$2:$F$661)=0),ROW($F$2:$F$661)))&amp;"")</f>
        <v>#REF!</v>
      </c>
      <c r="O7">
        <f t="shared" ca="1" si="0"/>
        <v>0</v>
      </c>
      <c r="P7">
        <f t="shared" ca="1" si="1"/>
        <v>1</v>
      </c>
      <c r="Q7">
        <f ca="1">P7+COUNTIF(P$1:P6,P7)</f>
        <v>6</v>
      </c>
    </row>
    <row r="8" spans="1:17">
      <c r="A8" s="150">
        <v>7</v>
      </c>
      <c r="B8" s="150" t="s">
        <v>110</v>
      </c>
      <c r="C8" s="150">
        <v>3</v>
      </c>
      <c r="D8" s="151" t="s">
        <v>243</v>
      </c>
      <c r="E8" s="151" t="s">
        <v>121</v>
      </c>
      <c r="F8" s="150" t="s">
        <v>192</v>
      </c>
      <c r="G8" s="150"/>
      <c r="H8" s="150"/>
      <c r="I8" s="150"/>
      <c r="J8" s="150"/>
      <c r="K8" s="150"/>
      <c r="L8" s="150"/>
      <c r="M8" s="150"/>
    </row>
    <row r="9" spans="1:17">
      <c r="A9" s="150">
        <v>8</v>
      </c>
      <c r="B9" s="150" t="s">
        <v>109</v>
      </c>
      <c r="C9" s="150">
        <v>1</v>
      </c>
      <c r="D9" s="151" t="s">
        <v>243</v>
      </c>
      <c r="E9" s="151" t="s">
        <v>157</v>
      </c>
      <c r="F9" s="150" t="s">
        <v>97</v>
      </c>
      <c r="G9" s="150">
        <v>2</v>
      </c>
      <c r="H9" s="150">
        <v>6</v>
      </c>
      <c r="I9" s="150"/>
      <c r="J9" s="150"/>
      <c r="K9" s="152">
        <f>IF($G9-$H9=8,6,IF($G9-$H9&gt;0,5,IF($G9-$H9=0,3,IF($G9-$H9=-2,2,1))))+I9</f>
        <v>1</v>
      </c>
      <c r="L9" s="152">
        <f>IF($H9-$G9=8,6,IF($H9-$G9&gt;0,5,IF($H9-$G9=0,3,IF($H9-$G9=-2,2,1))))+J9</f>
        <v>5</v>
      </c>
      <c r="M9" s="150"/>
    </row>
    <row r="10" spans="1:17">
      <c r="A10" s="150">
        <v>9</v>
      </c>
      <c r="B10" s="150" t="s">
        <v>111</v>
      </c>
      <c r="C10" s="150">
        <v>4</v>
      </c>
      <c r="D10" s="151" t="s">
        <v>243</v>
      </c>
      <c r="E10" s="151" t="s">
        <v>123</v>
      </c>
      <c r="F10" s="150" t="s">
        <v>126</v>
      </c>
      <c r="G10" s="150"/>
      <c r="H10" s="150"/>
      <c r="I10" s="150"/>
      <c r="J10" s="150"/>
      <c r="K10" s="150"/>
      <c r="L10" s="150"/>
      <c r="M10" s="150"/>
    </row>
    <row r="11" spans="1:17">
      <c r="A11" s="150">
        <v>10</v>
      </c>
      <c r="B11" s="150" t="s">
        <v>110</v>
      </c>
      <c r="C11" s="150">
        <v>7</v>
      </c>
      <c r="D11" s="151" t="s">
        <v>243</v>
      </c>
      <c r="E11" s="152" t="s">
        <v>125</v>
      </c>
      <c r="F11" s="150" t="s">
        <v>216</v>
      </c>
      <c r="G11" s="150">
        <v>6</v>
      </c>
      <c r="H11" s="150">
        <v>2</v>
      </c>
      <c r="I11" s="150"/>
      <c r="J11" s="150"/>
      <c r="K11" s="152">
        <f>IF($G11-$H11=8,6,IF($G11-$H11&gt;0,5,IF($G11-$H11=0,3,IF($G11-$H11=-2,2,1))))+I11</f>
        <v>5</v>
      </c>
      <c r="L11" s="152">
        <f>IF($H11-$G11=8,6,IF($H11-$G11&gt;0,5,IF($H11-$G11=0,3,IF($H11-$G11=-2,2,1))))+J11</f>
        <v>1</v>
      </c>
      <c r="M11" s="150"/>
    </row>
    <row r="12" spans="1:17">
      <c r="A12" s="150">
        <v>11</v>
      </c>
      <c r="B12" s="150" t="s">
        <v>111</v>
      </c>
      <c r="C12" s="150">
        <v>4</v>
      </c>
      <c r="D12" s="151" t="s">
        <v>243</v>
      </c>
      <c r="E12" s="151" t="s">
        <v>193</v>
      </c>
      <c r="F12" s="150" t="s">
        <v>162</v>
      </c>
      <c r="G12" s="150"/>
      <c r="H12" s="150"/>
      <c r="I12" s="150"/>
      <c r="J12" s="150"/>
      <c r="K12" s="150"/>
      <c r="L12" s="150"/>
      <c r="M12" s="150"/>
    </row>
    <row r="13" spans="1:17">
      <c r="A13" s="150">
        <v>12</v>
      </c>
      <c r="B13" s="150" t="s">
        <v>109</v>
      </c>
      <c r="C13" s="150">
        <v>2</v>
      </c>
      <c r="D13" s="151" t="s">
        <v>243</v>
      </c>
      <c r="E13" s="151" t="s">
        <v>182</v>
      </c>
      <c r="F13" s="150" t="s">
        <v>129</v>
      </c>
      <c r="G13" s="150"/>
      <c r="H13" s="150"/>
      <c r="I13" s="150"/>
      <c r="J13" s="150"/>
      <c r="K13" s="150"/>
      <c r="L13" s="150"/>
      <c r="M13" s="150"/>
    </row>
    <row r="14" spans="1:17">
      <c r="A14" s="150">
        <v>13</v>
      </c>
      <c r="B14" s="150" t="s">
        <v>110</v>
      </c>
      <c r="C14" s="150">
        <v>8</v>
      </c>
      <c r="D14" s="151" t="s">
        <v>243</v>
      </c>
      <c r="E14" s="151" t="s">
        <v>194</v>
      </c>
      <c r="F14" s="150" t="s">
        <v>183</v>
      </c>
      <c r="G14" s="150"/>
      <c r="H14" s="150"/>
      <c r="I14" s="150"/>
      <c r="J14" s="150"/>
      <c r="K14" s="150"/>
      <c r="L14" s="150"/>
      <c r="M14" s="150"/>
    </row>
    <row r="15" spans="1:17">
      <c r="A15" s="150">
        <v>14</v>
      </c>
      <c r="B15" s="150" t="s">
        <v>110</v>
      </c>
      <c r="C15" s="150">
        <v>8</v>
      </c>
      <c r="D15" s="151" t="s">
        <v>243</v>
      </c>
      <c r="E15" s="151" t="s">
        <v>217</v>
      </c>
      <c r="F15" s="150" t="s">
        <v>211</v>
      </c>
      <c r="G15" s="150"/>
      <c r="H15" s="150"/>
      <c r="I15" s="150"/>
      <c r="J15" s="150"/>
      <c r="K15" s="152"/>
      <c r="L15" s="152"/>
      <c r="M15" s="150"/>
    </row>
    <row r="16" spans="1:17">
      <c r="A16" s="150">
        <v>15</v>
      </c>
      <c r="B16" s="150" t="s">
        <v>111</v>
      </c>
      <c r="C16" s="150">
        <v>5</v>
      </c>
      <c r="D16" s="151" t="s">
        <v>243</v>
      </c>
      <c r="E16" s="151" t="s">
        <v>127</v>
      </c>
      <c r="F16" s="150" t="s">
        <v>156</v>
      </c>
      <c r="G16" s="150"/>
      <c r="H16" s="150"/>
      <c r="I16" s="150"/>
      <c r="J16" s="150"/>
      <c r="K16" s="150"/>
      <c r="L16" s="150"/>
      <c r="M16" s="150"/>
    </row>
    <row r="17" spans="1:12">
      <c r="A17" s="150">
        <v>16</v>
      </c>
      <c r="B17" s="150" t="s">
        <v>110</v>
      </c>
      <c r="C17" s="150">
        <v>6</v>
      </c>
      <c r="D17" s="151" t="s">
        <v>243</v>
      </c>
      <c r="E17" s="151" t="s">
        <v>195</v>
      </c>
      <c r="F17" s="150" t="s">
        <v>188</v>
      </c>
      <c r="G17" s="150"/>
      <c r="H17" s="150"/>
      <c r="I17" s="150"/>
      <c r="J17" s="150"/>
      <c r="K17" s="150"/>
      <c r="L17" s="150"/>
    </row>
    <row r="18" spans="1:12">
      <c r="A18" s="150">
        <v>17</v>
      </c>
      <c r="B18" s="150" t="s">
        <v>111</v>
      </c>
      <c r="C18" s="150">
        <v>1</v>
      </c>
      <c r="D18" s="151" t="s">
        <v>243</v>
      </c>
      <c r="E18" s="151" t="s">
        <v>218</v>
      </c>
      <c r="F18" s="150" t="s">
        <v>133</v>
      </c>
      <c r="G18" s="150"/>
      <c r="H18" s="150"/>
      <c r="I18" s="150"/>
      <c r="J18" s="150"/>
      <c r="K18" s="150"/>
      <c r="L18" s="150"/>
    </row>
    <row r="19" spans="1:12">
      <c r="A19" s="150">
        <v>18</v>
      </c>
      <c r="B19" s="150" t="s">
        <v>110</v>
      </c>
      <c r="C19" s="150">
        <v>1</v>
      </c>
      <c r="D19" s="151" t="s">
        <v>243</v>
      </c>
      <c r="E19" s="151" t="s">
        <v>219</v>
      </c>
      <c r="F19" s="150" t="s">
        <v>196</v>
      </c>
      <c r="G19" s="150"/>
      <c r="H19" s="150"/>
      <c r="I19" s="150"/>
      <c r="J19" s="150"/>
      <c r="K19" s="150"/>
      <c r="L19" s="150"/>
    </row>
    <row r="20" spans="1:12">
      <c r="A20" s="150">
        <v>19</v>
      </c>
      <c r="B20" s="150" t="s">
        <v>111</v>
      </c>
      <c r="C20" s="150">
        <v>1</v>
      </c>
      <c r="D20" s="151" t="s">
        <v>243</v>
      </c>
      <c r="E20" s="151" t="s">
        <v>132</v>
      </c>
      <c r="F20" s="150" t="s">
        <v>115</v>
      </c>
      <c r="G20" s="150"/>
      <c r="H20" s="150"/>
      <c r="I20" s="150"/>
      <c r="J20" s="150"/>
      <c r="K20" s="150"/>
      <c r="L20" s="150"/>
    </row>
    <row r="21" spans="1:12">
      <c r="A21" s="150">
        <v>20</v>
      </c>
      <c r="B21" s="150" t="s">
        <v>191</v>
      </c>
      <c r="C21" s="150">
        <v>2</v>
      </c>
      <c r="D21" s="151" t="s">
        <v>243</v>
      </c>
      <c r="E21" s="151" t="s">
        <v>134</v>
      </c>
      <c r="F21" s="150" t="s">
        <v>92</v>
      </c>
      <c r="G21" s="150"/>
      <c r="H21" s="150"/>
      <c r="I21" s="150"/>
      <c r="J21" s="150"/>
      <c r="K21" s="150"/>
      <c r="L21" s="150"/>
    </row>
    <row r="22" spans="1:12">
      <c r="A22" s="150">
        <v>21</v>
      </c>
      <c r="B22" s="150" t="s">
        <v>111</v>
      </c>
      <c r="C22" s="150">
        <v>1</v>
      </c>
      <c r="D22" s="151" t="s">
        <v>243</v>
      </c>
      <c r="E22" s="151" t="s">
        <v>136</v>
      </c>
      <c r="F22" s="150" t="s">
        <v>137</v>
      </c>
      <c r="G22" s="150"/>
      <c r="H22" s="150"/>
      <c r="I22" s="150"/>
      <c r="J22" s="150"/>
      <c r="K22" s="150"/>
      <c r="L22" s="150"/>
    </row>
    <row r="23" spans="1:12">
      <c r="A23" s="150">
        <v>22</v>
      </c>
      <c r="B23" s="150" t="s">
        <v>110</v>
      </c>
      <c r="C23" s="150">
        <v>1</v>
      </c>
      <c r="D23" s="151" t="s">
        <v>243</v>
      </c>
      <c r="E23" s="151" t="s">
        <v>138</v>
      </c>
      <c r="F23" s="150" t="s">
        <v>131</v>
      </c>
      <c r="G23" s="150"/>
      <c r="H23" s="150"/>
      <c r="I23" s="150"/>
      <c r="J23" s="150"/>
      <c r="K23" s="150"/>
      <c r="L23" s="150"/>
    </row>
    <row r="24" spans="1:12">
      <c r="A24" s="150">
        <v>23</v>
      </c>
      <c r="B24" s="150" t="s">
        <v>110</v>
      </c>
      <c r="C24" s="150">
        <v>2</v>
      </c>
      <c r="D24" s="151" t="s">
        <v>243</v>
      </c>
      <c r="E24" s="151" t="s">
        <v>189</v>
      </c>
      <c r="F24" s="150" t="s">
        <v>122</v>
      </c>
      <c r="G24" s="150"/>
      <c r="H24" s="150"/>
      <c r="I24" s="150"/>
      <c r="J24" s="150"/>
      <c r="K24" s="150"/>
      <c r="L24" s="150"/>
    </row>
    <row r="25" spans="1:12">
      <c r="A25" s="150">
        <v>24</v>
      </c>
      <c r="B25" s="150" t="s">
        <v>109</v>
      </c>
      <c r="C25" s="150">
        <v>2</v>
      </c>
      <c r="D25" s="151" t="s">
        <v>243</v>
      </c>
      <c r="E25" s="151" t="s">
        <v>118</v>
      </c>
      <c r="F25" s="150" t="s">
        <v>150</v>
      </c>
      <c r="G25" s="150"/>
      <c r="H25" s="150"/>
      <c r="I25" s="150"/>
      <c r="J25" s="150"/>
      <c r="K25" s="150"/>
      <c r="L25" s="150"/>
    </row>
    <row r="26" spans="1:12">
      <c r="A26" s="150">
        <v>25</v>
      </c>
      <c r="B26" s="150" t="s">
        <v>110</v>
      </c>
      <c r="C26" s="150">
        <v>1</v>
      </c>
      <c r="D26" s="151" t="s">
        <v>243</v>
      </c>
      <c r="E26" s="151" t="s">
        <v>197</v>
      </c>
      <c r="F26" s="150" t="s">
        <v>130</v>
      </c>
      <c r="G26" s="150"/>
      <c r="H26" s="150"/>
      <c r="I26" s="150"/>
      <c r="J26" s="150"/>
      <c r="K26" s="152"/>
      <c r="L26" s="152"/>
    </row>
    <row r="27" spans="1:12">
      <c r="A27" s="150">
        <v>26</v>
      </c>
      <c r="B27" s="150" t="s">
        <v>111</v>
      </c>
      <c r="C27" s="150">
        <v>6</v>
      </c>
      <c r="D27" s="151" t="s">
        <v>243</v>
      </c>
      <c r="E27" s="151" t="s">
        <v>96</v>
      </c>
      <c r="F27" s="150" t="s">
        <v>153</v>
      </c>
      <c r="G27" s="150"/>
      <c r="H27" s="150"/>
      <c r="I27" s="150"/>
      <c r="J27" s="150"/>
      <c r="K27" s="150"/>
      <c r="L27" s="150"/>
    </row>
    <row r="28" spans="1:12">
      <c r="A28" s="150">
        <v>27</v>
      </c>
      <c r="B28" s="150" t="s">
        <v>191</v>
      </c>
      <c r="C28" s="150">
        <v>1</v>
      </c>
      <c r="D28" s="151" t="s">
        <v>243</v>
      </c>
      <c r="E28" s="151" t="s">
        <v>139</v>
      </c>
      <c r="F28" s="150" t="s">
        <v>177</v>
      </c>
      <c r="G28" s="150"/>
      <c r="H28" s="150"/>
      <c r="I28" s="150"/>
      <c r="J28" s="150"/>
      <c r="K28" s="150"/>
      <c r="L28" s="150"/>
    </row>
    <row r="29" spans="1:12">
      <c r="A29" s="150">
        <v>28</v>
      </c>
      <c r="B29" s="150" t="s">
        <v>111</v>
      </c>
      <c r="C29" s="150">
        <v>5</v>
      </c>
      <c r="D29" s="151" t="s">
        <v>243</v>
      </c>
      <c r="E29" s="151" t="s">
        <v>141</v>
      </c>
      <c r="F29" s="150" t="s">
        <v>175</v>
      </c>
      <c r="G29" s="150"/>
      <c r="H29" s="150"/>
      <c r="I29" s="150"/>
      <c r="J29" s="150"/>
      <c r="K29" s="150"/>
      <c r="L29" s="150"/>
    </row>
    <row r="30" spans="1:12">
      <c r="A30" s="150">
        <v>29</v>
      </c>
      <c r="B30" s="150" t="s">
        <v>109</v>
      </c>
      <c r="C30" s="150">
        <v>2</v>
      </c>
      <c r="D30" s="151" t="s">
        <v>243</v>
      </c>
      <c r="E30" s="151" t="s">
        <v>198</v>
      </c>
      <c r="F30" s="150" t="s">
        <v>220</v>
      </c>
      <c r="G30" s="154"/>
      <c r="H30" s="150"/>
      <c r="I30" s="150"/>
      <c r="J30" s="150"/>
      <c r="K30" s="150"/>
      <c r="L30" s="150"/>
    </row>
    <row r="31" spans="1:12">
      <c r="A31" s="150">
        <v>30</v>
      </c>
      <c r="B31" s="150" t="s">
        <v>110</v>
      </c>
      <c r="C31" s="150">
        <v>12</v>
      </c>
      <c r="D31" s="151" t="s">
        <v>243</v>
      </c>
      <c r="E31" s="151" t="s">
        <v>143</v>
      </c>
      <c r="F31" s="150" t="s">
        <v>221</v>
      </c>
      <c r="G31" s="150"/>
      <c r="H31" s="150"/>
      <c r="I31" s="150"/>
      <c r="J31" s="150"/>
      <c r="K31" s="150"/>
      <c r="L31" s="150"/>
    </row>
    <row r="32" spans="1:12">
      <c r="A32" s="150">
        <v>31</v>
      </c>
      <c r="B32" s="150" t="s">
        <v>110</v>
      </c>
      <c r="C32" s="150">
        <v>10</v>
      </c>
      <c r="D32" s="151" t="s">
        <v>243</v>
      </c>
      <c r="E32" s="151" t="s">
        <v>142</v>
      </c>
      <c r="F32" s="150" t="s">
        <v>222</v>
      </c>
      <c r="G32" s="150"/>
      <c r="H32" s="150"/>
      <c r="I32" s="150"/>
      <c r="J32" s="150"/>
      <c r="K32" s="150"/>
      <c r="L32" s="150"/>
    </row>
    <row r="33" spans="1:12">
      <c r="A33" s="150">
        <v>32</v>
      </c>
      <c r="B33" s="150" t="s">
        <v>110</v>
      </c>
      <c r="C33" s="150">
        <v>11</v>
      </c>
      <c r="D33" s="151" t="s">
        <v>243</v>
      </c>
      <c r="E33" s="151" t="s">
        <v>145</v>
      </c>
      <c r="F33" s="150" t="s">
        <v>223</v>
      </c>
      <c r="G33" s="150"/>
      <c r="H33" s="150"/>
      <c r="I33" s="150"/>
      <c r="J33" s="150"/>
      <c r="K33" s="150"/>
      <c r="L33" s="150"/>
    </row>
    <row r="34" spans="1:12">
      <c r="A34" s="150">
        <v>33</v>
      </c>
      <c r="B34" s="150" t="s">
        <v>111</v>
      </c>
      <c r="C34" s="150">
        <v>6</v>
      </c>
      <c r="D34" s="151" t="s">
        <v>243</v>
      </c>
      <c r="E34" s="151" t="s">
        <v>159</v>
      </c>
      <c r="F34" s="150" t="s">
        <v>147</v>
      </c>
      <c r="G34" s="150"/>
      <c r="H34" s="150"/>
      <c r="I34" s="150"/>
      <c r="J34" s="150"/>
      <c r="K34" s="150"/>
      <c r="L34" s="150"/>
    </row>
    <row r="35" spans="1:12">
      <c r="A35" s="150">
        <v>34</v>
      </c>
      <c r="B35" s="150" t="s">
        <v>110</v>
      </c>
      <c r="C35" s="150">
        <v>12</v>
      </c>
      <c r="D35" s="151" t="s">
        <v>243</v>
      </c>
      <c r="E35" s="151" t="s">
        <v>146</v>
      </c>
      <c r="F35" s="150" t="s">
        <v>152</v>
      </c>
      <c r="G35" s="150"/>
      <c r="H35" s="150"/>
      <c r="I35" s="150"/>
      <c r="J35" s="150"/>
      <c r="K35" s="150"/>
      <c r="L35" s="150"/>
    </row>
    <row r="36" spans="1:12">
      <c r="A36" s="150">
        <v>35</v>
      </c>
      <c r="B36" s="150" t="s">
        <v>191</v>
      </c>
      <c r="C36" s="150">
        <v>2</v>
      </c>
      <c r="D36" s="151" t="s">
        <v>243</v>
      </c>
      <c r="E36" s="151" t="s">
        <v>164</v>
      </c>
      <c r="F36" s="150" t="s">
        <v>140</v>
      </c>
      <c r="G36" s="150"/>
      <c r="H36" s="150"/>
      <c r="I36" s="150"/>
      <c r="J36" s="150"/>
      <c r="K36" s="150"/>
      <c r="L36" s="150"/>
    </row>
    <row r="37" spans="1:12">
      <c r="A37" s="150">
        <v>36</v>
      </c>
      <c r="B37" s="150" t="s">
        <v>109</v>
      </c>
      <c r="C37" s="150">
        <v>1</v>
      </c>
      <c r="D37" s="151" t="s">
        <v>243</v>
      </c>
      <c r="E37" s="151" t="s">
        <v>199</v>
      </c>
      <c r="F37" s="150" t="s">
        <v>163</v>
      </c>
      <c r="G37" s="150">
        <v>2</v>
      </c>
      <c r="H37" s="150">
        <v>6</v>
      </c>
      <c r="I37" s="150"/>
      <c r="J37" s="150"/>
      <c r="K37" s="152">
        <f>IF($G37-$H37=8,6,IF($G37-$H37&gt;0,5,IF($G37-$H37=0,3,IF($G37-$H37=-2,2,1))))+I37</f>
        <v>1</v>
      </c>
      <c r="L37" s="152">
        <f>IF($H37-$G37=8,6,IF($H37-$G37&gt;0,5,IF($H37-$G37=0,3,IF($H37-$G37=-2,2,1))))+J37</f>
        <v>5</v>
      </c>
    </row>
    <row r="38" spans="1:12">
      <c r="A38" s="150">
        <v>37</v>
      </c>
      <c r="B38" s="150" t="s">
        <v>110</v>
      </c>
      <c r="C38" s="150">
        <v>11</v>
      </c>
      <c r="D38" s="151" t="s">
        <v>243</v>
      </c>
      <c r="E38" s="151" t="s">
        <v>200</v>
      </c>
      <c r="F38" s="150" t="s">
        <v>165</v>
      </c>
      <c r="G38" s="150"/>
      <c r="H38" s="150"/>
      <c r="I38" s="150"/>
      <c r="J38" s="150"/>
      <c r="K38" s="152"/>
      <c r="L38" s="152"/>
    </row>
    <row r="39" spans="1:12">
      <c r="A39" s="150">
        <v>38</v>
      </c>
      <c r="B39" s="150" t="s">
        <v>109</v>
      </c>
      <c r="C39" s="150">
        <v>1</v>
      </c>
      <c r="D39" s="151" t="s">
        <v>243</v>
      </c>
      <c r="E39" s="151" t="s">
        <v>149</v>
      </c>
      <c r="F39" s="150" t="s">
        <v>113</v>
      </c>
      <c r="G39" s="150">
        <v>3</v>
      </c>
      <c r="H39" s="150">
        <v>5</v>
      </c>
      <c r="I39" s="150"/>
      <c r="J39" s="150"/>
      <c r="K39" s="152">
        <f>IF($G39-$H39=8,6,IF($G39-$H39&gt;0,5,IF($G39-$H39=0,3,IF($G39-$H39=-2,2,1))))+I39</f>
        <v>2</v>
      </c>
      <c r="L39" s="152">
        <f>IF($H39-$G39=8,6,IF($H39-$G39&gt;0,5,IF($H39-$G39=0,3,IF($H39-$G39=-2,2,1))))+J39</f>
        <v>5</v>
      </c>
    </row>
    <row r="40" spans="1:12">
      <c r="A40" s="150">
        <v>39</v>
      </c>
      <c r="B40" s="150" t="s">
        <v>110</v>
      </c>
      <c r="C40" s="150">
        <v>12</v>
      </c>
      <c r="D40" s="151" t="s">
        <v>243</v>
      </c>
      <c r="E40" s="151" t="s">
        <v>224</v>
      </c>
      <c r="F40" s="150" t="s">
        <v>225</v>
      </c>
      <c r="G40" s="150"/>
      <c r="H40" s="150"/>
      <c r="I40" s="150"/>
      <c r="J40" s="150"/>
      <c r="K40" s="150"/>
      <c r="L40" s="150"/>
    </row>
    <row r="41" spans="1:12">
      <c r="A41" s="150">
        <v>40</v>
      </c>
      <c r="B41" s="150" t="s">
        <v>110</v>
      </c>
      <c r="C41" s="150">
        <v>10</v>
      </c>
      <c r="D41" s="151" t="s">
        <v>243</v>
      </c>
      <c r="E41" s="151" t="s">
        <v>202</v>
      </c>
      <c r="F41" s="150" t="s">
        <v>226</v>
      </c>
      <c r="G41" s="150"/>
      <c r="H41" s="150"/>
      <c r="I41" s="150"/>
      <c r="J41" s="150"/>
      <c r="K41" s="150"/>
      <c r="L41" s="150"/>
    </row>
    <row r="42" spans="1:12">
      <c r="A42" s="150">
        <v>41</v>
      </c>
      <c r="B42" s="150" t="s">
        <v>110</v>
      </c>
      <c r="C42" s="150">
        <v>11</v>
      </c>
      <c r="D42" s="151" t="s">
        <v>243</v>
      </c>
      <c r="E42" s="151" t="s">
        <v>227</v>
      </c>
      <c r="F42" s="150" t="s">
        <v>148</v>
      </c>
      <c r="G42" s="150"/>
      <c r="H42" s="150"/>
      <c r="I42" s="150"/>
      <c r="J42" s="150"/>
      <c r="K42" s="150"/>
      <c r="L42" s="150"/>
    </row>
    <row r="43" spans="1:12">
      <c r="A43" s="150">
        <v>42</v>
      </c>
      <c r="B43" s="150" t="s">
        <v>110</v>
      </c>
      <c r="C43" s="150">
        <v>9</v>
      </c>
      <c r="D43" s="151" t="s">
        <v>243</v>
      </c>
      <c r="E43" s="151" t="s">
        <v>158</v>
      </c>
      <c r="F43" s="150" t="s">
        <v>228</v>
      </c>
      <c r="G43" s="150"/>
      <c r="H43" s="150"/>
      <c r="I43" s="150"/>
      <c r="J43" s="150"/>
      <c r="K43" s="150"/>
      <c r="L43" s="150"/>
    </row>
    <row r="44" spans="1:12">
      <c r="A44" s="150">
        <v>43</v>
      </c>
      <c r="B44" s="150" t="s">
        <v>191</v>
      </c>
      <c r="C44" s="150">
        <v>2</v>
      </c>
      <c r="D44" s="151" t="s">
        <v>243</v>
      </c>
      <c r="E44" s="151" t="s">
        <v>203</v>
      </c>
      <c r="F44" s="150" t="s">
        <v>168</v>
      </c>
      <c r="G44" s="150"/>
      <c r="H44" s="150"/>
      <c r="I44" s="150"/>
      <c r="J44" s="150"/>
      <c r="K44" s="150"/>
      <c r="L44" s="150"/>
    </row>
    <row r="45" spans="1:12">
      <c r="A45" s="150">
        <v>44</v>
      </c>
      <c r="B45" s="150" t="s">
        <v>111</v>
      </c>
      <c r="C45" s="150">
        <v>3</v>
      </c>
      <c r="D45" s="151" t="s">
        <v>243</v>
      </c>
      <c r="E45" s="151" t="s">
        <v>204</v>
      </c>
      <c r="F45" s="150" t="s">
        <v>205</v>
      </c>
      <c r="G45" s="150"/>
      <c r="H45" s="150"/>
      <c r="I45" s="150"/>
      <c r="J45" s="150"/>
      <c r="K45" s="152"/>
      <c r="L45" s="152"/>
    </row>
    <row r="46" spans="1:12">
      <c r="A46" s="150">
        <v>45</v>
      </c>
      <c r="B46" s="150" t="s">
        <v>110</v>
      </c>
      <c r="C46" s="150">
        <v>6</v>
      </c>
      <c r="D46" s="151" t="s">
        <v>243</v>
      </c>
      <c r="E46" s="151" t="s">
        <v>206</v>
      </c>
      <c r="F46" s="150" t="s">
        <v>229</v>
      </c>
      <c r="G46" s="150"/>
      <c r="H46" s="150"/>
      <c r="I46" s="150"/>
      <c r="J46" s="150"/>
      <c r="K46" s="150"/>
      <c r="L46" s="150"/>
    </row>
    <row r="47" spans="1:12">
      <c r="A47" s="150">
        <v>46</v>
      </c>
      <c r="B47" s="150" t="s">
        <v>110</v>
      </c>
      <c r="C47" s="150">
        <v>6</v>
      </c>
      <c r="D47" s="151" t="s">
        <v>243</v>
      </c>
      <c r="E47" s="151" t="s">
        <v>128</v>
      </c>
      <c r="F47" s="150" t="s">
        <v>230</v>
      </c>
      <c r="G47" s="150"/>
      <c r="H47" s="150"/>
      <c r="I47" s="150"/>
      <c r="J47" s="150"/>
      <c r="K47" s="150"/>
      <c r="L47" s="150"/>
    </row>
    <row r="48" spans="1:12">
      <c r="A48" s="150">
        <v>47</v>
      </c>
      <c r="B48" s="150" t="s">
        <v>110</v>
      </c>
      <c r="C48" s="150">
        <v>5</v>
      </c>
      <c r="D48" s="151" t="s">
        <v>243</v>
      </c>
      <c r="E48" s="151" t="s">
        <v>171</v>
      </c>
      <c r="F48" s="150" t="s">
        <v>231</v>
      </c>
      <c r="G48" s="150"/>
      <c r="H48" s="150"/>
      <c r="I48" s="150"/>
      <c r="J48" s="150"/>
      <c r="K48" s="150"/>
      <c r="L48" s="150"/>
    </row>
    <row r="49" spans="1:12">
      <c r="A49" s="150">
        <v>48</v>
      </c>
      <c r="B49" s="150" t="s">
        <v>110</v>
      </c>
      <c r="C49" s="150">
        <v>5</v>
      </c>
      <c r="D49" s="151" t="s">
        <v>243</v>
      </c>
      <c r="E49" s="151" t="s">
        <v>232</v>
      </c>
      <c r="F49" s="150" t="s">
        <v>173</v>
      </c>
      <c r="G49" s="150"/>
      <c r="H49" s="150"/>
      <c r="I49" s="150"/>
      <c r="J49" s="150"/>
      <c r="K49" s="150"/>
      <c r="L49" s="150"/>
    </row>
    <row r="50" spans="1:12">
      <c r="A50" s="150">
        <v>49</v>
      </c>
      <c r="B50" s="150" t="s">
        <v>110</v>
      </c>
      <c r="C50" s="150">
        <v>9</v>
      </c>
      <c r="D50" s="151" t="s">
        <v>243</v>
      </c>
      <c r="E50" s="151" t="s">
        <v>167</v>
      </c>
      <c r="F50" s="150" t="s">
        <v>233</v>
      </c>
      <c r="G50" s="150"/>
      <c r="H50" s="150"/>
      <c r="I50" s="150"/>
      <c r="J50" s="150"/>
      <c r="K50" s="150"/>
      <c r="L50" s="150"/>
    </row>
    <row r="51" spans="1:12">
      <c r="A51" s="150">
        <v>50</v>
      </c>
      <c r="B51" s="150" t="s">
        <v>110</v>
      </c>
      <c r="C51" s="150">
        <v>10</v>
      </c>
      <c r="D51" s="151" t="s">
        <v>243</v>
      </c>
      <c r="E51" s="151" t="s">
        <v>234</v>
      </c>
      <c r="F51" s="150" t="s">
        <v>201</v>
      </c>
      <c r="G51" s="150"/>
      <c r="H51" s="150"/>
      <c r="I51" s="150"/>
      <c r="J51" s="150"/>
      <c r="K51" s="150"/>
      <c r="L51" s="150"/>
    </row>
    <row r="52" spans="1:12">
      <c r="A52" s="150">
        <v>51</v>
      </c>
      <c r="B52" s="150" t="s">
        <v>111</v>
      </c>
      <c r="C52" s="150">
        <v>6</v>
      </c>
      <c r="D52" s="151" t="s">
        <v>243</v>
      </c>
      <c r="E52" s="151" t="s">
        <v>144</v>
      </c>
      <c r="F52" s="150" t="s">
        <v>155</v>
      </c>
      <c r="G52" s="150"/>
      <c r="H52" s="150"/>
      <c r="I52" s="150"/>
      <c r="J52" s="150"/>
      <c r="K52" s="150"/>
      <c r="L52" s="150"/>
    </row>
    <row r="53" spans="1:12">
      <c r="A53" s="150">
        <v>52</v>
      </c>
      <c r="B53" s="150" t="s">
        <v>111</v>
      </c>
      <c r="C53" s="150">
        <v>4</v>
      </c>
      <c r="D53" s="151" t="s">
        <v>243</v>
      </c>
      <c r="E53" s="151" t="s">
        <v>124</v>
      </c>
      <c r="F53" s="150" t="s">
        <v>160</v>
      </c>
      <c r="G53" s="150"/>
      <c r="H53" s="150"/>
      <c r="I53" s="150"/>
      <c r="J53" s="150"/>
      <c r="K53" s="150"/>
      <c r="L53" s="150"/>
    </row>
    <row r="54" spans="1:12">
      <c r="A54" s="150">
        <v>53</v>
      </c>
      <c r="B54" s="150" t="s">
        <v>111</v>
      </c>
      <c r="C54" s="150">
        <v>5</v>
      </c>
      <c r="D54" s="151" t="s">
        <v>243</v>
      </c>
      <c r="E54" s="151" t="s">
        <v>161</v>
      </c>
      <c r="F54" s="150" t="s">
        <v>154</v>
      </c>
      <c r="G54" s="150"/>
      <c r="H54" s="150"/>
      <c r="I54" s="150"/>
      <c r="J54" s="150"/>
      <c r="K54" s="150"/>
      <c r="L54" s="150"/>
    </row>
    <row r="55" spans="1:12">
      <c r="A55" s="150">
        <v>54</v>
      </c>
      <c r="B55" s="150" t="s">
        <v>110</v>
      </c>
      <c r="C55" s="150">
        <v>5</v>
      </c>
      <c r="D55" s="151" t="s">
        <v>243</v>
      </c>
      <c r="E55" s="151" t="s">
        <v>235</v>
      </c>
      <c r="F55" s="150" t="s">
        <v>209</v>
      </c>
      <c r="G55" s="150"/>
      <c r="H55" s="150"/>
      <c r="I55" s="150"/>
      <c r="J55" s="150"/>
      <c r="K55" s="150"/>
      <c r="L55" s="150"/>
    </row>
    <row r="56" spans="1:12">
      <c r="A56" s="150">
        <v>55</v>
      </c>
      <c r="B56" s="150" t="s">
        <v>110</v>
      </c>
      <c r="C56" s="150">
        <v>4</v>
      </c>
      <c r="D56" s="151" t="s">
        <v>243</v>
      </c>
      <c r="E56" s="151" t="s">
        <v>172</v>
      </c>
      <c r="F56" s="150" t="s">
        <v>170</v>
      </c>
      <c r="G56" s="150"/>
      <c r="H56" s="150"/>
      <c r="I56" s="150"/>
      <c r="J56" s="150"/>
      <c r="K56" s="150"/>
      <c r="L56" s="150"/>
    </row>
    <row r="57" spans="1:12">
      <c r="A57" s="150">
        <v>56</v>
      </c>
      <c r="B57" s="150" t="s">
        <v>110</v>
      </c>
      <c r="C57" s="150">
        <v>4</v>
      </c>
      <c r="D57" s="151" t="s">
        <v>243</v>
      </c>
      <c r="E57" s="151" t="s">
        <v>236</v>
      </c>
      <c r="F57" s="150" t="s">
        <v>180</v>
      </c>
      <c r="G57" s="150"/>
      <c r="H57" s="150"/>
      <c r="I57" s="150"/>
      <c r="J57" s="150"/>
      <c r="K57" s="150"/>
      <c r="L57" s="150"/>
    </row>
    <row r="58" spans="1:12">
      <c r="A58" s="150">
        <v>57</v>
      </c>
      <c r="B58" s="150" t="s">
        <v>111</v>
      </c>
      <c r="C58" s="150">
        <v>3</v>
      </c>
      <c r="D58" s="151" t="s">
        <v>243</v>
      </c>
      <c r="E58" s="151" t="s">
        <v>174</v>
      </c>
      <c r="F58" s="150" t="s">
        <v>181</v>
      </c>
      <c r="G58" s="150"/>
      <c r="H58" s="150"/>
      <c r="I58" s="150"/>
      <c r="J58" s="150"/>
      <c r="K58" s="150"/>
      <c r="L58" s="150"/>
    </row>
    <row r="59" spans="1:12">
      <c r="A59" s="150">
        <v>58</v>
      </c>
      <c r="B59" s="150" t="s">
        <v>191</v>
      </c>
      <c r="C59" s="150">
        <v>1</v>
      </c>
      <c r="D59" s="151" t="s">
        <v>243</v>
      </c>
      <c r="E59" s="151" t="s">
        <v>176</v>
      </c>
      <c r="F59" s="150" t="s">
        <v>151</v>
      </c>
      <c r="G59" s="150"/>
      <c r="H59" s="150"/>
      <c r="I59" s="150"/>
      <c r="J59" s="150"/>
      <c r="K59" s="150"/>
      <c r="L59" s="150"/>
    </row>
    <row r="60" spans="1:12">
      <c r="A60" s="150">
        <v>59</v>
      </c>
      <c r="B60" s="150" t="s">
        <v>111</v>
      </c>
      <c r="C60" s="150">
        <v>2</v>
      </c>
      <c r="D60" s="151" t="s">
        <v>243</v>
      </c>
      <c r="E60" s="151" t="s">
        <v>178</v>
      </c>
      <c r="F60" s="150" t="s">
        <v>120</v>
      </c>
      <c r="G60" s="150"/>
      <c r="H60" s="150"/>
      <c r="I60" s="150"/>
      <c r="J60" s="150"/>
      <c r="K60" s="150"/>
      <c r="L60" s="150"/>
    </row>
    <row r="61" spans="1:12">
      <c r="A61" s="150">
        <v>60</v>
      </c>
      <c r="B61" s="150" t="s">
        <v>110</v>
      </c>
      <c r="C61" s="150">
        <v>3</v>
      </c>
      <c r="D61" s="151" t="s">
        <v>243</v>
      </c>
      <c r="E61" s="151" t="s">
        <v>117</v>
      </c>
      <c r="F61" s="150" t="s">
        <v>237</v>
      </c>
      <c r="G61" s="150"/>
      <c r="H61" s="150"/>
      <c r="I61" s="150"/>
      <c r="J61" s="150"/>
      <c r="K61" s="150"/>
      <c r="L61" s="150"/>
    </row>
    <row r="62" spans="1:12">
      <c r="A62" s="150">
        <v>61</v>
      </c>
      <c r="B62" s="150" t="s">
        <v>110</v>
      </c>
      <c r="C62" s="150">
        <v>4</v>
      </c>
      <c r="D62" s="151" t="s">
        <v>243</v>
      </c>
      <c r="E62" s="151" t="s">
        <v>238</v>
      </c>
      <c r="F62" s="150" t="s">
        <v>210</v>
      </c>
      <c r="G62" s="150"/>
      <c r="H62" s="150"/>
      <c r="I62" s="150"/>
      <c r="J62" s="150"/>
      <c r="K62" s="150"/>
      <c r="L62" s="150"/>
    </row>
    <row r="63" spans="1:12">
      <c r="A63" s="150">
        <v>62</v>
      </c>
      <c r="B63" s="150" t="s">
        <v>110</v>
      </c>
      <c r="C63" s="150">
        <v>3</v>
      </c>
      <c r="D63" s="151" t="s">
        <v>243</v>
      </c>
      <c r="E63" s="151" t="s">
        <v>239</v>
      </c>
      <c r="F63" s="150" t="s">
        <v>240</v>
      </c>
      <c r="G63" s="150"/>
      <c r="H63" s="150"/>
      <c r="I63" s="150"/>
      <c r="J63" s="150"/>
      <c r="K63" s="152"/>
      <c r="L63" s="152"/>
    </row>
    <row r="64" spans="1:12">
      <c r="A64" s="150">
        <v>63</v>
      </c>
      <c r="B64" s="150" t="s">
        <v>110</v>
      </c>
      <c r="C64" s="150">
        <v>9</v>
      </c>
      <c r="D64" s="151" t="s">
        <v>243</v>
      </c>
      <c r="E64" s="151" t="s">
        <v>241</v>
      </c>
      <c r="F64" s="150" t="s">
        <v>166</v>
      </c>
      <c r="G64" s="150"/>
      <c r="H64" s="150"/>
      <c r="I64" s="150"/>
      <c r="J64" s="150"/>
      <c r="K64" s="152"/>
      <c r="L64" s="152"/>
    </row>
    <row r="65" spans="1:12">
      <c r="A65" s="150">
        <v>64</v>
      </c>
      <c r="B65" s="150" t="s">
        <v>110</v>
      </c>
      <c r="C65" s="150">
        <v>7</v>
      </c>
      <c r="D65" s="151" t="s">
        <v>243</v>
      </c>
      <c r="E65" s="151" t="s">
        <v>212</v>
      </c>
      <c r="F65" s="150" t="s">
        <v>213</v>
      </c>
      <c r="G65" s="150">
        <v>0</v>
      </c>
      <c r="H65" s="150">
        <v>8</v>
      </c>
      <c r="I65" s="150">
        <v>-3</v>
      </c>
      <c r="J65" s="150">
        <v>-1</v>
      </c>
      <c r="K65" s="152">
        <f>IF($G65-$H65=8,6,IF($G65-$H65&gt;0,5,IF($G65-$H65=0,3,IF($G65-$H65=-2,2,1))))+I65</f>
        <v>-2</v>
      </c>
      <c r="L65" s="152">
        <f>IF($H65-$G65=8,6,IF($H65-$G65&gt;0,5,IF($H65-$G65=0,3,IF($H65-$G65=-2,2,1))))+J65</f>
        <v>5</v>
      </c>
    </row>
    <row r="66" spans="1:12">
      <c r="A66" s="150">
        <v>65</v>
      </c>
      <c r="B66" s="150" t="s">
        <v>110</v>
      </c>
      <c r="C66" s="150">
        <v>7</v>
      </c>
      <c r="D66" s="151" t="s">
        <v>243</v>
      </c>
      <c r="E66" s="151" t="s">
        <v>184</v>
      </c>
      <c r="F66" s="150" t="s">
        <v>207</v>
      </c>
      <c r="G66" s="150">
        <v>7</v>
      </c>
      <c r="H66" s="150">
        <v>1</v>
      </c>
      <c r="I66" s="150"/>
      <c r="J66" s="150"/>
      <c r="K66" s="152">
        <f>IF($G66-$H66=8,6,IF($G66-$H66&gt;0,5,IF($G66-$H66=0,3,IF($G66-$H66=-2,2,1))))+I66</f>
        <v>5</v>
      </c>
      <c r="L66" s="152">
        <f>IF($H66-$G66=8,6,IF($H66-$G66&gt;0,5,IF($H66-$G66=0,3,IF($H66-$G66=-2,2,1))))+J66</f>
        <v>1</v>
      </c>
    </row>
    <row r="67" spans="1:12">
      <c r="A67" s="150">
        <v>66</v>
      </c>
      <c r="B67" s="150" t="s">
        <v>110</v>
      </c>
      <c r="C67" s="150">
        <v>8</v>
      </c>
      <c r="D67" s="151" t="s">
        <v>243</v>
      </c>
      <c r="E67" s="151" t="s">
        <v>242</v>
      </c>
      <c r="F67" s="150" t="s">
        <v>208</v>
      </c>
      <c r="G67" s="150"/>
      <c r="H67" s="150"/>
      <c r="I67" s="150"/>
      <c r="J67" s="150"/>
      <c r="K67" s="152"/>
      <c r="L67" s="152"/>
    </row>
    <row r="68" spans="1:12">
      <c r="A68" s="150">
        <v>67</v>
      </c>
      <c r="B68" s="150" t="s">
        <v>110</v>
      </c>
      <c r="C68" s="150">
        <v>3</v>
      </c>
      <c r="D68" s="151" t="s">
        <v>244</v>
      </c>
      <c r="E68" s="151" t="s">
        <v>240</v>
      </c>
      <c r="F68" s="150" t="s">
        <v>121</v>
      </c>
      <c r="G68" s="150"/>
      <c r="H68" s="150"/>
      <c r="I68" s="150"/>
      <c r="J68" s="150"/>
      <c r="K68" s="150"/>
      <c r="L68" s="150"/>
    </row>
    <row r="69" spans="1:12">
      <c r="A69" s="150">
        <v>68</v>
      </c>
      <c r="B69" s="150" t="s">
        <v>110</v>
      </c>
      <c r="C69" s="150">
        <v>6</v>
      </c>
      <c r="D69" s="151" t="s">
        <v>244</v>
      </c>
      <c r="E69" s="151" t="s">
        <v>188</v>
      </c>
      <c r="F69" s="150" t="s">
        <v>206</v>
      </c>
      <c r="G69" s="150"/>
      <c r="H69" s="150"/>
      <c r="I69" s="150"/>
      <c r="J69" s="150"/>
      <c r="K69" s="150"/>
      <c r="L69" s="150"/>
    </row>
    <row r="70" spans="1:12">
      <c r="A70" s="150">
        <v>69</v>
      </c>
      <c r="B70" s="150" t="s">
        <v>111</v>
      </c>
      <c r="C70" s="150">
        <v>2</v>
      </c>
      <c r="D70" s="151" t="s">
        <v>244</v>
      </c>
      <c r="E70" s="151" t="s">
        <v>120</v>
      </c>
      <c r="F70" s="150" t="s">
        <v>114</v>
      </c>
      <c r="G70" s="150"/>
      <c r="H70" s="150"/>
      <c r="I70" s="150"/>
      <c r="J70" s="150"/>
      <c r="K70" s="150"/>
      <c r="L70" s="150"/>
    </row>
    <row r="71" spans="1:12">
      <c r="A71" s="150">
        <v>70</v>
      </c>
      <c r="B71" s="150" t="s">
        <v>111</v>
      </c>
      <c r="C71" s="150">
        <v>2</v>
      </c>
      <c r="D71" s="151" t="s">
        <v>244</v>
      </c>
      <c r="E71" s="151" t="s">
        <v>116</v>
      </c>
      <c r="F71" s="150" t="s">
        <v>178</v>
      </c>
      <c r="G71" s="150"/>
      <c r="H71" s="150"/>
      <c r="I71" s="150"/>
      <c r="J71" s="150"/>
      <c r="K71" s="150"/>
      <c r="L71" s="150"/>
    </row>
    <row r="72" spans="1:12">
      <c r="A72" s="150">
        <v>71</v>
      </c>
      <c r="B72" s="150" t="s">
        <v>110</v>
      </c>
      <c r="C72" s="150">
        <v>3</v>
      </c>
      <c r="D72" s="151" t="s">
        <v>244</v>
      </c>
      <c r="E72" s="151" t="s">
        <v>237</v>
      </c>
      <c r="F72" s="150" t="s">
        <v>239</v>
      </c>
      <c r="G72" s="150"/>
      <c r="H72" s="150"/>
      <c r="I72" s="150"/>
      <c r="J72" s="150"/>
      <c r="K72" s="150"/>
      <c r="L72" s="150"/>
    </row>
    <row r="73" spans="1:12">
      <c r="A73" s="150">
        <v>72</v>
      </c>
      <c r="B73" s="150" t="s">
        <v>110</v>
      </c>
      <c r="C73" s="150">
        <v>3</v>
      </c>
      <c r="D73" s="151" t="s">
        <v>244</v>
      </c>
      <c r="E73" s="151" t="s">
        <v>192</v>
      </c>
      <c r="F73" s="150" t="s">
        <v>117</v>
      </c>
      <c r="G73" s="150"/>
      <c r="H73" s="150"/>
      <c r="I73" s="150"/>
      <c r="J73" s="150"/>
      <c r="K73" s="150"/>
      <c r="L73" s="150"/>
    </row>
    <row r="74" spans="1:12">
      <c r="A74" s="150">
        <v>73</v>
      </c>
      <c r="B74" s="150" t="s">
        <v>110</v>
      </c>
      <c r="C74" s="150">
        <v>2</v>
      </c>
      <c r="D74" s="151" t="s">
        <v>244</v>
      </c>
      <c r="E74" s="151" t="s">
        <v>122</v>
      </c>
      <c r="F74" s="150" t="s">
        <v>187</v>
      </c>
      <c r="G74" s="150"/>
      <c r="H74" s="150"/>
      <c r="I74" s="150"/>
      <c r="J74" s="150"/>
      <c r="K74" s="150"/>
      <c r="L74" s="150"/>
    </row>
    <row r="75" spans="1:12">
      <c r="A75" s="150">
        <v>74</v>
      </c>
      <c r="B75" s="150" t="s">
        <v>110</v>
      </c>
      <c r="C75" s="150">
        <v>2</v>
      </c>
      <c r="D75" s="151" t="s">
        <v>244</v>
      </c>
      <c r="E75" s="151" t="s">
        <v>112</v>
      </c>
      <c r="F75" s="150" t="s">
        <v>186</v>
      </c>
      <c r="G75" s="150"/>
      <c r="H75" s="150"/>
      <c r="I75" s="150"/>
      <c r="J75" s="150"/>
      <c r="K75" s="150"/>
      <c r="L75" s="150"/>
    </row>
    <row r="76" spans="1:12">
      <c r="A76" s="150">
        <v>75</v>
      </c>
      <c r="B76" s="150" t="s">
        <v>111</v>
      </c>
      <c r="C76" s="150">
        <v>4</v>
      </c>
      <c r="D76" s="151" t="s">
        <v>244</v>
      </c>
      <c r="E76" s="151" t="s">
        <v>126</v>
      </c>
      <c r="F76" s="150" t="s">
        <v>124</v>
      </c>
      <c r="G76" s="150"/>
      <c r="H76" s="150"/>
      <c r="I76" s="150"/>
      <c r="J76" s="150"/>
      <c r="K76" s="150"/>
      <c r="L76" s="150"/>
    </row>
    <row r="77" spans="1:12">
      <c r="A77" s="150">
        <v>76</v>
      </c>
      <c r="B77" s="150" t="s">
        <v>110</v>
      </c>
      <c r="C77" s="150">
        <v>7</v>
      </c>
      <c r="D77" s="151" t="s">
        <v>244</v>
      </c>
      <c r="E77" s="151" t="s">
        <v>207</v>
      </c>
      <c r="F77" s="150" t="s">
        <v>212</v>
      </c>
      <c r="G77" s="150">
        <v>2</v>
      </c>
      <c r="H77" s="150">
        <v>6</v>
      </c>
      <c r="I77" s="150"/>
      <c r="J77" s="150"/>
      <c r="K77" s="152">
        <f>IF($G77-$H77=8,6,IF($G77-$H77&gt;0,5,IF($G77-$H77=0,3,IF($G77-$H77=-2,2,1))))+I77</f>
        <v>1</v>
      </c>
      <c r="L77" s="152">
        <f>IF($H77-$G77=8,6,IF($H77-$G77&gt;0,5,IF($H77-$G77=0,3,IF($H77-$G77=-2,2,1))))+J77</f>
        <v>5</v>
      </c>
    </row>
    <row r="78" spans="1:12">
      <c r="A78" s="150">
        <v>77</v>
      </c>
      <c r="B78" s="150" t="s">
        <v>110</v>
      </c>
      <c r="C78" s="150">
        <v>7</v>
      </c>
      <c r="D78" s="151" t="s">
        <v>244</v>
      </c>
      <c r="E78" s="151" t="s">
        <v>125</v>
      </c>
      <c r="F78" s="150" t="s">
        <v>184</v>
      </c>
      <c r="G78" s="150">
        <v>6</v>
      </c>
      <c r="H78" s="150">
        <v>2</v>
      </c>
      <c r="I78" s="150"/>
      <c r="J78" s="150"/>
      <c r="K78" s="152">
        <f>IF($G78-$H78=8,6,IF($G78-$H78&gt;0,5,IF($G78-$H78=0,3,IF($G78-$H78=-2,2,1))))+I78</f>
        <v>5</v>
      </c>
      <c r="L78" s="152">
        <f>IF($H78-$G78=8,6,IF($H78-$G78&gt;0,5,IF($H78-$G78=0,3,IF($H78-$G78=-2,2,1))))+J78</f>
        <v>1</v>
      </c>
    </row>
    <row r="79" spans="1:12">
      <c r="A79" s="150">
        <v>78</v>
      </c>
      <c r="B79" s="150" t="s">
        <v>110</v>
      </c>
      <c r="C79" s="150">
        <v>8</v>
      </c>
      <c r="D79" s="151" t="s">
        <v>244</v>
      </c>
      <c r="E79" s="151" t="s">
        <v>208</v>
      </c>
      <c r="F79" s="150" t="s">
        <v>194</v>
      </c>
      <c r="G79" s="150"/>
      <c r="H79" s="150"/>
      <c r="I79" s="150"/>
      <c r="J79" s="150"/>
      <c r="K79" s="150"/>
      <c r="L79" s="150"/>
    </row>
    <row r="80" spans="1:12">
      <c r="A80" s="150">
        <v>79</v>
      </c>
      <c r="B80" s="150" t="s">
        <v>109</v>
      </c>
      <c r="C80" s="150">
        <v>2</v>
      </c>
      <c r="D80" s="151" t="s">
        <v>244</v>
      </c>
      <c r="E80" s="151" t="s">
        <v>129</v>
      </c>
      <c r="F80" s="150" t="s">
        <v>118</v>
      </c>
      <c r="G80" s="150"/>
      <c r="H80" s="150"/>
      <c r="I80" s="150"/>
      <c r="J80" s="150"/>
      <c r="K80" s="150"/>
      <c r="L80" s="150"/>
    </row>
    <row r="81" spans="1:12">
      <c r="A81" s="150">
        <v>80</v>
      </c>
      <c r="B81" s="150" t="s">
        <v>110</v>
      </c>
      <c r="C81" s="150">
        <v>6</v>
      </c>
      <c r="D81" s="151" t="s">
        <v>244</v>
      </c>
      <c r="E81" s="151" t="s">
        <v>230</v>
      </c>
      <c r="F81" s="150" t="s">
        <v>195</v>
      </c>
      <c r="G81" s="150"/>
      <c r="H81" s="150"/>
      <c r="I81" s="150"/>
      <c r="J81" s="150"/>
      <c r="K81" s="150"/>
      <c r="L81" s="150"/>
    </row>
    <row r="82" spans="1:12">
      <c r="A82" s="150">
        <v>81</v>
      </c>
      <c r="B82" s="150" t="s">
        <v>111</v>
      </c>
      <c r="C82" s="150">
        <v>5</v>
      </c>
      <c r="D82" s="151" t="s">
        <v>244</v>
      </c>
      <c r="E82" s="151" t="s">
        <v>175</v>
      </c>
      <c r="F82" s="150" t="s">
        <v>161</v>
      </c>
      <c r="G82" s="150"/>
      <c r="H82" s="150"/>
      <c r="I82" s="150"/>
      <c r="J82" s="150"/>
      <c r="K82" s="150"/>
      <c r="L82" s="150"/>
    </row>
    <row r="83" spans="1:12">
      <c r="A83" s="150">
        <v>82</v>
      </c>
      <c r="B83" s="150" t="s">
        <v>109</v>
      </c>
      <c r="C83" s="150">
        <v>1</v>
      </c>
      <c r="D83" s="151" t="s">
        <v>244</v>
      </c>
      <c r="E83" s="151" t="s">
        <v>113</v>
      </c>
      <c r="F83" s="150" t="s">
        <v>199</v>
      </c>
      <c r="G83" s="150">
        <v>1</v>
      </c>
      <c r="H83" s="150">
        <v>7</v>
      </c>
      <c r="I83" s="150"/>
      <c r="J83" s="150"/>
      <c r="K83" s="152">
        <f>IF($G83-$H83=8,6,IF($G83-$H83&gt;0,5,IF($G83-$H83=0,3,IF($G83-$H83=-2,2,1))))+I83</f>
        <v>1</v>
      </c>
      <c r="L83" s="152">
        <f>IF($H83-$G83=8,6,IF($H83-$G83&gt;0,5,IF($H83-$G83=0,3,IF($H83-$G83=-2,2,1))))+J83</f>
        <v>5</v>
      </c>
    </row>
    <row r="84" spans="1:12">
      <c r="A84" s="150">
        <v>83</v>
      </c>
      <c r="B84" s="150" t="s">
        <v>110</v>
      </c>
      <c r="C84" s="150">
        <v>6</v>
      </c>
      <c r="D84" s="151" t="s">
        <v>244</v>
      </c>
      <c r="E84" s="151" t="s">
        <v>229</v>
      </c>
      <c r="F84" s="150" t="s">
        <v>128</v>
      </c>
      <c r="G84" s="150"/>
      <c r="H84" s="150"/>
      <c r="I84" s="150"/>
      <c r="J84" s="150"/>
      <c r="K84" s="152"/>
      <c r="L84" s="152"/>
    </row>
    <row r="85" spans="1:12">
      <c r="A85" s="150">
        <v>84</v>
      </c>
      <c r="B85" s="150" t="s">
        <v>110</v>
      </c>
      <c r="C85" s="150">
        <v>2</v>
      </c>
      <c r="D85" s="151" t="s">
        <v>244</v>
      </c>
      <c r="E85" s="151" t="s">
        <v>215</v>
      </c>
      <c r="F85" s="150" t="s">
        <v>189</v>
      </c>
      <c r="G85" s="150"/>
      <c r="H85" s="150"/>
      <c r="I85" s="150"/>
      <c r="J85" s="150"/>
      <c r="K85" s="150"/>
      <c r="L85" s="150"/>
    </row>
    <row r="86" spans="1:12">
      <c r="A86" s="150">
        <v>85</v>
      </c>
      <c r="B86" s="150" t="s">
        <v>111</v>
      </c>
      <c r="C86" s="150">
        <v>1</v>
      </c>
      <c r="D86" s="151" t="s">
        <v>244</v>
      </c>
      <c r="E86" s="151" t="s">
        <v>133</v>
      </c>
      <c r="F86" s="150" t="s">
        <v>136</v>
      </c>
      <c r="G86" s="150"/>
      <c r="H86" s="150"/>
      <c r="I86" s="150"/>
      <c r="J86" s="150"/>
      <c r="K86" s="150"/>
      <c r="L86" s="150"/>
    </row>
    <row r="87" spans="1:12">
      <c r="A87" s="150">
        <v>86</v>
      </c>
      <c r="B87" s="150" t="s">
        <v>111</v>
      </c>
      <c r="C87" s="150">
        <v>1</v>
      </c>
      <c r="D87" s="151" t="s">
        <v>244</v>
      </c>
      <c r="E87" s="151" t="s">
        <v>137</v>
      </c>
      <c r="F87" s="150" t="s">
        <v>132</v>
      </c>
      <c r="G87" s="150"/>
      <c r="H87" s="150"/>
      <c r="I87" s="150"/>
      <c r="J87" s="150"/>
      <c r="K87" s="150"/>
      <c r="L87" s="150"/>
    </row>
    <row r="88" spans="1:12">
      <c r="A88" s="150">
        <v>87</v>
      </c>
      <c r="B88" s="150" t="s">
        <v>110</v>
      </c>
      <c r="C88" s="150">
        <v>1</v>
      </c>
      <c r="D88" s="151" t="s">
        <v>244</v>
      </c>
      <c r="E88" s="151" t="s">
        <v>130</v>
      </c>
      <c r="F88" s="150" t="s">
        <v>138</v>
      </c>
      <c r="G88" s="150"/>
      <c r="H88" s="150"/>
      <c r="I88" s="150"/>
      <c r="J88" s="150"/>
      <c r="K88" s="152"/>
      <c r="L88" s="152"/>
    </row>
    <row r="89" spans="1:12">
      <c r="A89" s="150">
        <v>88</v>
      </c>
      <c r="B89" s="150" t="s">
        <v>191</v>
      </c>
      <c r="C89" s="150">
        <v>1</v>
      </c>
      <c r="D89" s="151" t="s">
        <v>244</v>
      </c>
      <c r="E89" s="151" t="s">
        <v>177</v>
      </c>
      <c r="F89" s="150" t="s">
        <v>98</v>
      </c>
      <c r="G89" s="150"/>
      <c r="H89" s="150"/>
      <c r="I89" s="150"/>
      <c r="J89" s="150"/>
      <c r="K89" s="150"/>
      <c r="L89" s="150"/>
    </row>
    <row r="90" spans="1:12">
      <c r="A90" s="150">
        <v>89</v>
      </c>
      <c r="B90" s="150" t="s">
        <v>111</v>
      </c>
      <c r="C90" s="150">
        <v>1</v>
      </c>
      <c r="D90" s="151" t="s">
        <v>244</v>
      </c>
      <c r="E90" s="151" t="s">
        <v>115</v>
      </c>
      <c r="F90" s="150" t="s">
        <v>218</v>
      </c>
      <c r="G90" s="150"/>
      <c r="H90" s="150"/>
      <c r="I90" s="150"/>
      <c r="J90" s="150"/>
      <c r="K90" s="150"/>
      <c r="L90" s="150"/>
    </row>
    <row r="91" spans="1:12">
      <c r="A91" s="150">
        <v>90</v>
      </c>
      <c r="B91" s="150" t="s">
        <v>110</v>
      </c>
      <c r="C91" s="150">
        <v>1</v>
      </c>
      <c r="D91" s="151" t="s">
        <v>244</v>
      </c>
      <c r="E91" s="151" t="s">
        <v>196</v>
      </c>
      <c r="F91" s="150" t="s">
        <v>197</v>
      </c>
      <c r="G91" s="150"/>
      <c r="H91" s="150"/>
      <c r="I91" s="150"/>
      <c r="J91" s="150"/>
      <c r="K91" s="150"/>
      <c r="L91" s="150"/>
    </row>
    <row r="92" spans="1:12">
      <c r="A92" s="150">
        <v>91</v>
      </c>
      <c r="B92" s="150" t="s">
        <v>109</v>
      </c>
      <c r="C92" s="150">
        <v>2</v>
      </c>
      <c r="D92" s="151" t="s">
        <v>244</v>
      </c>
      <c r="E92" s="151" t="s">
        <v>220</v>
      </c>
      <c r="F92" s="150" t="s">
        <v>182</v>
      </c>
      <c r="G92" s="150"/>
      <c r="H92" s="150"/>
      <c r="I92" s="150"/>
      <c r="J92" s="150"/>
      <c r="K92" s="150"/>
      <c r="L92" s="150"/>
    </row>
    <row r="93" spans="1:12">
      <c r="A93" s="150">
        <v>92</v>
      </c>
      <c r="B93" s="150" t="s">
        <v>110</v>
      </c>
      <c r="C93" s="150">
        <v>1</v>
      </c>
      <c r="D93" s="151" t="s">
        <v>244</v>
      </c>
      <c r="E93" s="151" t="s">
        <v>131</v>
      </c>
      <c r="F93" s="150" t="s">
        <v>219</v>
      </c>
      <c r="G93" s="150"/>
      <c r="H93" s="150"/>
      <c r="I93" s="150"/>
      <c r="J93" s="150"/>
      <c r="K93" s="150"/>
      <c r="L93" s="150"/>
    </row>
    <row r="94" spans="1:12">
      <c r="A94" s="150">
        <v>93</v>
      </c>
      <c r="B94" s="150" t="s">
        <v>191</v>
      </c>
      <c r="C94" s="150">
        <v>2</v>
      </c>
      <c r="D94" s="151" t="s">
        <v>244</v>
      </c>
      <c r="E94" s="151" t="s">
        <v>140</v>
      </c>
      <c r="F94" s="150" t="s">
        <v>134</v>
      </c>
      <c r="G94" s="150"/>
      <c r="H94" s="150"/>
      <c r="I94" s="150"/>
      <c r="J94" s="150"/>
      <c r="K94" s="150"/>
      <c r="L94" s="150"/>
    </row>
    <row r="95" spans="1:12">
      <c r="A95" s="150">
        <v>94</v>
      </c>
      <c r="B95" s="150" t="s">
        <v>111</v>
      </c>
      <c r="C95" s="150">
        <v>6</v>
      </c>
      <c r="D95" s="151" t="s">
        <v>244</v>
      </c>
      <c r="E95" s="151" t="s">
        <v>147</v>
      </c>
      <c r="F95" s="150" t="s">
        <v>144</v>
      </c>
      <c r="G95" s="150"/>
      <c r="H95" s="150"/>
      <c r="I95" s="150"/>
      <c r="J95" s="150"/>
      <c r="K95" s="150"/>
      <c r="L95" s="150"/>
    </row>
    <row r="96" spans="1:12">
      <c r="A96" s="150">
        <v>95</v>
      </c>
      <c r="B96" s="150" t="s">
        <v>110</v>
      </c>
      <c r="C96" s="150">
        <v>10</v>
      </c>
      <c r="D96" s="151" t="s">
        <v>244</v>
      </c>
      <c r="E96" s="151" t="s">
        <v>222</v>
      </c>
      <c r="F96" s="150" t="s">
        <v>202</v>
      </c>
      <c r="G96" s="150"/>
      <c r="H96" s="150"/>
      <c r="I96" s="150"/>
      <c r="J96" s="150"/>
      <c r="K96" s="150"/>
      <c r="L96" s="150"/>
    </row>
    <row r="97" spans="1:12">
      <c r="A97" s="150">
        <v>96</v>
      </c>
      <c r="B97" s="150" t="s">
        <v>191</v>
      </c>
      <c r="C97" s="150">
        <v>2</v>
      </c>
      <c r="D97" s="151" t="s">
        <v>244</v>
      </c>
      <c r="E97" s="151" t="s">
        <v>92</v>
      </c>
      <c r="F97" s="150" t="s">
        <v>203</v>
      </c>
      <c r="G97" s="150"/>
      <c r="H97" s="150"/>
      <c r="I97" s="150"/>
      <c r="J97" s="150"/>
      <c r="K97" s="150"/>
      <c r="L97" s="150"/>
    </row>
    <row r="98" spans="1:12">
      <c r="A98" s="150">
        <v>97</v>
      </c>
      <c r="B98" s="150" t="s">
        <v>110</v>
      </c>
      <c r="C98" s="150">
        <v>11</v>
      </c>
      <c r="D98" s="151" t="s">
        <v>244</v>
      </c>
      <c r="E98" s="151" t="s">
        <v>223</v>
      </c>
      <c r="F98" s="150" t="s">
        <v>200</v>
      </c>
      <c r="G98" s="150"/>
      <c r="H98" s="150"/>
      <c r="I98" s="150"/>
      <c r="J98" s="150"/>
      <c r="K98" s="150"/>
      <c r="L98" s="150"/>
    </row>
    <row r="99" spans="1:12">
      <c r="A99" s="150">
        <v>98</v>
      </c>
      <c r="B99" s="150" t="s">
        <v>110</v>
      </c>
      <c r="C99" s="150">
        <v>11</v>
      </c>
      <c r="D99" s="151" t="s">
        <v>244</v>
      </c>
      <c r="E99" s="151" t="s">
        <v>148</v>
      </c>
      <c r="F99" s="150" t="s">
        <v>145</v>
      </c>
      <c r="G99" s="150"/>
      <c r="H99" s="150"/>
      <c r="I99" s="150"/>
      <c r="J99" s="150"/>
      <c r="K99" s="150"/>
      <c r="L99" s="150"/>
    </row>
    <row r="100" spans="1:12">
      <c r="A100" s="150">
        <v>99</v>
      </c>
      <c r="B100" s="150" t="s">
        <v>110</v>
      </c>
      <c r="C100" s="150">
        <v>10</v>
      </c>
      <c r="D100" s="151" t="s">
        <v>244</v>
      </c>
      <c r="E100" s="151" t="s">
        <v>201</v>
      </c>
      <c r="F100" s="150" t="s">
        <v>142</v>
      </c>
      <c r="G100" s="150"/>
      <c r="H100" s="150"/>
      <c r="I100" s="150"/>
      <c r="J100" s="150"/>
      <c r="K100" s="150"/>
      <c r="L100" s="150"/>
    </row>
    <row r="101" spans="1:12">
      <c r="A101" s="150">
        <v>100</v>
      </c>
      <c r="B101" s="150" t="s">
        <v>111</v>
      </c>
      <c r="C101" s="150">
        <v>6</v>
      </c>
      <c r="D101" s="151" t="s">
        <v>244</v>
      </c>
      <c r="E101" s="151" t="s">
        <v>155</v>
      </c>
      <c r="F101" s="150" t="s">
        <v>96</v>
      </c>
      <c r="G101" s="150"/>
      <c r="H101" s="150"/>
      <c r="I101" s="150"/>
      <c r="J101" s="150"/>
      <c r="K101" s="150"/>
      <c r="L101" s="150"/>
    </row>
    <row r="102" spans="1:12">
      <c r="A102" s="150">
        <v>101</v>
      </c>
      <c r="B102" s="150" t="s">
        <v>191</v>
      </c>
      <c r="C102" s="150">
        <v>1</v>
      </c>
      <c r="D102" s="151" t="s">
        <v>244</v>
      </c>
      <c r="E102" s="151" t="s">
        <v>151</v>
      </c>
      <c r="F102" s="150" t="s">
        <v>139</v>
      </c>
      <c r="G102" s="150"/>
      <c r="H102" s="150"/>
      <c r="I102" s="150"/>
      <c r="J102" s="150"/>
      <c r="K102" s="150"/>
      <c r="L102" s="150"/>
    </row>
    <row r="103" spans="1:12">
      <c r="A103" s="150">
        <v>102</v>
      </c>
      <c r="B103" s="150" t="s">
        <v>110</v>
      </c>
      <c r="C103" s="150">
        <v>12</v>
      </c>
      <c r="D103" s="151" t="s">
        <v>244</v>
      </c>
      <c r="E103" s="151" t="s">
        <v>152</v>
      </c>
      <c r="F103" s="150" t="s">
        <v>224</v>
      </c>
      <c r="G103" s="150"/>
      <c r="H103" s="150"/>
      <c r="I103" s="150"/>
      <c r="J103" s="150"/>
      <c r="K103" s="150"/>
      <c r="L103" s="150"/>
    </row>
    <row r="104" spans="1:12">
      <c r="A104" s="150">
        <v>103</v>
      </c>
      <c r="B104" s="150" t="s">
        <v>111</v>
      </c>
      <c r="C104" s="150">
        <v>6</v>
      </c>
      <c r="D104" s="151" t="s">
        <v>244</v>
      </c>
      <c r="E104" s="151" t="s">
        <v>153</v>
      </c>
      <c r="F104" s="150" t="s">
        <v>159</v>
      </c>
      <c r="G104" s="150"/>
      <c r="H104" s="150"/>
      <c r="I104" s="150"/>
      <c r="J104" s="150"/>
      <c r="K104" s="150"/>
      <c r="L104" s="150"/>
    </row>
    <row r="105" spans="1:12">
      <c r="A105" s="150">
        <v>104</v>
      </c>
      <c r="B105" s="150" t="s">
        <v>110</v>
      </c>
      <c r="C105" s="150">
        <v>9</v>
      </c>
      <c r="D105" s="151" t="s">
        <v>244</v>
      </c>
      <c r="E105" s="151" t="s">
        <v>233</v>
      </c>
      <c r="F105" s="150" t="s">
        <v>241</v>
      </c>
      <c r="G105" s="150"/>
      <c r="H105" s="150"/>
      <c r="I105" s="150"/>
      <c r="J105" s="150"/>
      <c r="K105" s="152"/>
      <c r="L105" s="152"/>
    </row>
    <row r="106" spans="1:12">
      <c r="A106" s="150">
        <v>105</v>
      </c>
      <c r="B106" s="150" t="s">
        <v>110</v>
      </c>
      <c r="C106" s="150">
        <v>12</v>
      </c>
      <c r="D106" s="151" t="s">
        <v>244</v>
      </c>
      <c r="E106" s="151" t="s">
        <v>221</v>
      </c>
      <c r="F106" s="150" t="s">
        <v>146</v>
      </c>
      <c r="G106" s="150"/>
      <c r="H106" s="150"/>
      <c r="I106" s="150"/>
      <c r="J106" s="150"/>
      <c r="K106" s="150"/>
      <c r="L106" s="150"/>
    </row>
    <row r="107" spans="1:12">
      <c r="A107" s="150">
        <v>106</v>
      </c>
      <c r="B107" s="150" t="s">
        <v>111</v>
      </c>
      <c r="C107" s="150">
        <v>5</v>
      </c>
      <c r="D107" s="151" t="s">
        <v>244</v>
      </c>
      <c r="E107" s="151" t="s">
        <v>154</v>
      </c>
      <c r="F107" s="150" t="s">
        <v>127</v>
      </c>
      <c r="G107" s="150"/>
      <c r="H107" s="150"/>
      <c r="I107" s="150"/>
      <c r="J107" s="150"/>
      <c r="K107" s="150"/>
      <c r="L107" s="150"/>
    </row>
    <row r="108" spans="1:12">
      <c r="A108" s="150">
        <v>107</v>
      </c>
      <c r="B108" s="150" t="s">
        <v>109</v>
      </c>
      <c r="C108" s="150">
        <v>2</v>
      </c>
      <c r="D108" s="151" t="s">
        <v>244</v>
      </c>
      <c r="E108" s="151" t="s">
        <v>150</v>
      </c>
      <c r="F108" s="150" t="s">
        <v>198</v>
      </c>
      <c r="G108" s="150"/>
      <c r="H108" s="150"/>
      <c r="I108" s="150"/>
      <c r="J108" s="150"/>
      <c r="K108" s="150"/>
      <c r="L108" s="150"/>
    </row>
    <row r="109" spans="1:12">
      <c r="A109" s="150">
        <v>108</v>
      </c>
      <c r="B109" s="150" t="s">
        <v>111</v>
      </c>
      <c r="C109" s="150">
        <v>5</v>
      </c>
      <c r="D109" s="151" t="s">
        <v>244</v>
      </c>
      <c r="E109" s="151" t="s">
        <v>156</v>
      </c>
      <c r="F109" s="150" t="s">
        <v>141</v>
      </c>
      <c r="G109" s="150"/>
      <c r="H109" s="150"/>
      <c r="I109" s="150"/>
      <c r="J109" s="150"/>
      <c r="K109" s="150"/>
      <c r="L109" s="150"/>
    </row>
    <row r="110" spans="1:12">
      <c r="A110" s="150">
        <v>109</v>
      </c>
      <c r="B110" s="150" t="s">
        <v>111</v>
      </c>
      <c r="C110" s="150">
        <v>3</v>
      </c>
      <c r="D110" s="151" t="s">
        <v>244</v>
      </c>
      <c r="E110" s="151" t="s">
        <v>205</v>
      </c>
      <c r="F110" s="150" t="s">
        <v>190</v>
      </c>
      <c r="G110" s="150"/>
      <c r="H110" s="150"/>
      <c r="I110" s="150"/>
      <c r="J110" s="150"/>
      <c r="K110" s="152"/>
      <c r="L110" s="152"/>
    </row>
    <row r="111" spans="1:12">
      <c r="A111" s="150">
        <v>110</v>
      </c>
      <c r="B111" s="150" t="s">
        <v>110</v>
      </c>
      <c r="C111" s="150">
        <v>5</v>
      </c>
      <c r="D111" s="151" t="s">
        <v>244</v>
      </c>
      <c r="E111" s="151" t="s">
        <v>231</v>
      </c>
      <c r="F111" s="150" t="s">
        <v>232</v>
      </c>
      <c r="G111" s="150"/>
      <c r="H111" s="150"/>
      <c r="I111" s="150"/>
      <c r="J111" s="150"/>
      <c r="K111" s="150"/>
      <c r="L111" s="150"/>
    </row>
    <row r="112" spans="1:12">
      <c r="A112" s="150">
        <v>111</v>
      </c>
      <c r="B112" s="150" t="s">
        <v>110</v>
      </c>
      <c r="C112" s="150">
        <v>5</v>
      </c>
      <c r="D112" s="151" t="s">
        <v>244</v>
      </c>
      <c r="E112" s="151" t="s">
        <v>209</v>
      </c>
      <c r="F112" s="150" t="s">
        <v>171</v>
      </c>
      <c r="G112" s="150"/>
      <c r="H112" s="150"/>
      <c r="I112" s="150"/>
      <c r="J112" s="150"/>
      <c r="K112" s="150"/>
      <c r="L112" s="150"/>
    </row>
    <row r="113" spans="1:12">
      <c r="A113" s="150">
        <v>112</v>
      </c>
      <c r="B113" s="150" t="s">
        <v>191</v>
      </c>
      <c r="C113" s="150">
        <v>1</v>
      </c>
      <c r="D113" s="151" t="s">
        <v>244</v>
      </c>
      <c r="E113" s="151" t="s">
        <v>135</v>
      </c>
      <c r="F113" s="150" t="s">
        <v>176</v>
      </c>
    </row>
    <row r="114" spans="1:12">
      <c r="A114" s="150">
        <v>113</v>
      </c>
      <c r="B114" s="150" t="s">
        <v>111</v>
      </c>
      <c r="C114" s="150">
        <v>3</v>
      </c>
      <c r="D114" s="151" t="s">
        <v>244</v>
      </c>
      <c r="E114" s="151" t="s">
        <v>169</v>
      </c>
      <c r="F114" s="150" t="s">
        <v>174</v>
      </c>
    </row>
    <row r="115" spans="1:12">
      <c r="A115" s="150">
        <v>114</v>
      </c>
      <c r="B115" s="150" t="s">
        <v>111</v>
      </c>
      <c r="C115" s="150">
        <v>4</v>
      </c>
      <c r="D115" s="151" t="s">
        <v>244</v>
      </c>
      <c r="E115" s="151" t="s">
        <v>160</v>
      </c>
      <c r="F115" s="150" t="s">
        <v>193</v>
      </c>
    </row>
    <row r="116" spans="1:12">
      <c r="A116" s="150">
        <v>115</v>
      </c>
      <c r="B116" s="150" t="s">
        <v>110</v>
      </c>
      <c r="C116" s="150">
        <v>9</v>
      </c>
      <c r="D116" s="151" t="s">
        <v>244</v>
      </c>
      <c r="E116" s="151" t="s">
        <v>166</v>
      </c>
      <c r="F116" s="150" t="s">
        <v>158</v>
      </c>
    </row>
    <row r="117" spans="1:12">
      <c r="A117" s="150">
        <v>116</v>
      </c>
      <c r="B117" s="150" t="s">
        <v>110</v>
      </c>
      <c r="C117" s="150">
        <v>10</v>
      </c>
      <c r="D117" s="151" t="s">
        <v>244</v>
      </c>
      <c r="E117" s="151" t="s">
        <v>226</v>
      </c>
      <c r="F117" s="150" t="s">
        <v>234</v>
      </c>
    </row>
    <row r="118" spans="1:12">
      <c r="A118" s="150">
        <v>117</v>
      </c>
      <c r="B118" s="150" t="s">
        <v>110</v>
      </c>
      <c r="C118" s="150">
        <v>12</v>
      </c>
      <c r="D118" s="151" t="s">
        <v>244</v>
      </c>
      <c r="E118" s="151" t="s">
        <v>225</v>
      </c>
      <c r="F118" s="150" t="s">
        <v>143</v>
      </c>
    </row>
    <row r="119" spans="1:12">
      <c r="A119" s="150">
        <v>118</v>
      </c>
      <c r="B119" s="150" t="s">
        <v>111</v>
      </c>
      <c r="C119" s="150">
        <v>4</v>
      </c>
      <c r="D119" s="151" t="s">
        <v>244</v>
      </c>
      <c r="E119" s="151" t="s">
        <v>162</v>
      </c>
      <c r="F119" s="150" t="s">
        <v>123</v>
      </c>
    </row>
    <row r="120" spans="1:12">
      <c r="A120" s="150">
        <v>119</v>
      </c>
      <c r="B120" s="150" t="s">
        <v>109</v>
      </c>
      <c r="C120" s="150">
        <v>1</v>
      </c>
      <c r="D120" s="151" t="s">
        <v>244</v>
      </c>
      <c r="E120" s="151" t="s">
        <v>163</v>
      </c>
      <c r="F120" s="150" t="s">
        <v>157</v>
      </c>
      <c r="G120" s="153">
        <v>5</v>
      </c>
      <c r="H120" s="153">
        <v>3</v>
      </c>
      <c r="K120" s="152">
        <f>IF($G120-$H120=8,6,IF($G120-$H120&gt;0,5,IF($G120-$H120=0,3,IF($G120-$H120=-2,2,1))))+I120</f>
        <v>5</v>
      </c>
      <c r="L120" s="152">
        <f>IF($H120-$G120=8,6,IF($H120-$G120&gt;0,5,IF($H120-$G120=0,3,IF($H120-$G120=-2,2,1))))+J120</f>
        <v>2</v>
      </c>
    </row>
    <row r="121" spans="1:12">
      <c r="A121" s="150">
        <v>120</v>
      </c>
      <c r="B121" s="150" t="s">
        <v>110</v>
      </c>
      <c r="C121" s="150">
        <v>11</v>
      </c>
      <c r="D121" s="151" t="s">
        <v>244</v>
      </c>
      <c r="E121" s="151" t="s">
        <v>165</v>
      </c>
      <c r="F121" s="150" t="s">
        <v>227</v>
      </c>
    </row>
    <row r="122" spans="1:12">
      <c r="A122" s="150">
        <v>121</v>
      </c>
      <c r="B122" s="150" t="s">
        <v>110</v>
      </c>
      <c r="C122" s="150">
        <v>4</v>
      </c>
      <c r="D122" s="151" t="s">
        <v>244</v>
      </c>
      <c r="E122" s="151" t="s">
        <v>170</v>
      </c>
      <c r="F122" s="150" t="s">
        <v>238</v>
      </c>
    </row>
    <row r="123" spans="1:12">
      <c r="A123" s="150">
        <v>122</v>
      </c>
      <c r="B123" s="150" t="s">
        <v>110</v>
      </c>
      <c r="C123" s="150">
        <v>5</v>
      </c>
      <c r="D123" s="151" t="s">
        <v>244</v>
      </c>
      <c r="E123" s="151" t="s">
        <v>173</v>
      </c>
      <c r="F123" s="150" t="s">
        <v>235</v>
      </c>
    </row>
    <row r="124" spans="1:12">
      <c r="A124" s="150">
        <v>123</v>
      </c>
      <c r="B124" s="150" t="s">
        <v>191</v>
      </c>
      <c r="C124" s="150">
        <v>2</v>
      </c>
      <c r="D124" s="151" t="s">
        <v>244</v>
      </c>
      <c r="E124" s="151" t="s">
        <v>168</v>
      </c>
      <c r="F124" s="150" t="s">
        <v>164</v>
      </c>
    </row>
    <row r="125" spans="1:12">
      <c r="A125" s="150">
        <v>124</v>
      </c>
      <c r="B125" s="150" t="s">
        <v>110</v>
      </c>
      <c r="C125" s="150">
        <v>4</v>
      </c>
      <c r="D125" s="151" t="s">
        <v>244</v>
      </c>
      <c r="E125" s="151" t="s">
        <v>180</v>
      </c>
      <c r="F125" s="150" t="s">
        <v>172</v>
      </c>
      <c r="G125" s="153"/>
      <c r="H125" s="153"/>
      <c r="K125" s="152"/>
      <c r="L125" s="152"/>
    </row>
    <row r="126" spans="1:12">
      <c r="A126" s="150">
        <v>125</v>
      </c>
      <c r="B126" s="150" t="s">
        <v>111</v>
      </c>
      <c r="C126" s="150">
        <v>2</v>
      </c>
      <c r="D126" s="151" t="s">
        <v>244</v>
      </c>
      <c r="E126" s="151" t="s">
        <v>179</v>
      </c>
      <c r="F126" s="150" t="s">
        <v>119</v>
      </c>
    </row>
    <row r="127" spans="1:12">
      <c r="A127" s="150">
        <v>126</v>
      </c>
      <c r="B127" s="150" t="s">
        <v>110</v>
      </c>
      <c r="C127" s="150">
        <v>4</v>
      </c>
      <c r="D127" s="151" t="s">
        <v>244</v>
      </c>
      <c r="E127" s="151" t="s">
        <v>210</v>
      </c>
      <c r="F127" s="150" t="s">
        <v>236</v>
      </c>
    </row>
    <row r="128" spans="1:12">
      <c r="A128" s="150">
        <v>127</v>
      </c>
      <c r="B128" s="150" t="s">
        <v>110</v>
      </c>
      <c r="C128" s="150">
        <v>8</v>
      </c>
      <c r="D128" s="151" t="s">
        <v>244</v>
      </c>
      <c r="E128" s="151" t="s">
        <v>211</v>
      </c>
      <c r="F128" s="150" t="s">
        <v>242</v>
      </c>
    </row>
    <row r="129" spans="1:12">
      <c r="A129" s="150">
        <v>128</v>
      </c>
      <c r="B129" s="150" t="s">
        <v>109</v>
      </c>
      <c r="C129" s="150">
        <v>1</v>
      </c>
      <c r="D129" s="151" t="s">
        <v>244</v>
      </c>
      <c r="E129" s="151" t="s">
        <v>97</v>
      </c>
      <c r="F129" s="150" t="s">
        <v>149</v>
      </c>
      <c r="G129" s="150">
        <v>4</v>
      </c>
      <c r="H129" s="150">
        <v>4</v>
      </c>
      <c r="I129" s="150"/>
      <c r="J129" s="150"/>
      <c r="K129" s="152">
        <f>IF($G129-$H129=8,6,IF($G129-$H129&gt;0,5,IF($G129-$H129=0,3,IF($G129-$H129=-2,2,1))))+I129</f>
        <v>3</v>
      </c>
      <c r="L129" s="152">
        <f>IF($H129-$G129=8,6,IF($H129-$G129&gt;0,5,IF($H129-$G129=0,3,IF($H129-$G129=-2,2,1))))+J129</f>
        <v>3</v>
      </c>
    </row>
    <row r="130" spans="1:12">
      <c r="A130" s="150">
        <v>129</v>
      </c>
      <c r="B130" s="150" t="s">
        <v>110</v>
      </c>
      <c r="C130" s="150">
        <v>7</v>
      </c>
      <c r="D130" s="151" t="s">
        <v>244</v>
      </c>
      <c r="E130" s="151" t="s">
        <v>213</v>
      </c>
      <c r="F130" s="150" t="s">
        <v>216</v>
      </c>
      <c r="G130" s="150">
        <v>5</v>
      </c>
      <c r="H130" s="150">
        <v>3</v>
      </c>
      <c r="I130" s="150"/>
      <c r="J130" s="150"/>
      <c r="K130" s="152">
        <f>IF($G130-$H130=8,6,IF($G130-$H130&gt;0,5,IF($G130-$H130=0,3,IF($G130-$H130=-2,2,1))))+I130</f>
        <v>5</v>
      </c>
      <c r="L130" s="152">
        <f>IF($H130-$G130=8,6,IF($H130-$G130&gt;0,5,IF($H130-$G130=0,3,IF($H130-$G130=-2,2,1))))+J130</f>
        <v>2</v>
      </c>
    </row>
    <row r="131" spans="1:12">
      <c r="A131" s="150">
        <v>130</v>
      </c>
      <c r="B131" s="150" t="s">
        <v>111</v>
      </c>
      <c r="C131" s="150">
        <v>3</v>
      </c>
      <c r="D131" s="151" t="s">
        <v>244</v>
      </c>
      <c r="E131" s="151" t="s">
        <v>181</v>
      </c>
      <c r="F131" s="150" t="s">
        <v>204</v>
      </c>
      <c r="G131" s="150"/>
      <c r="H131" s="150"/>
      <c r="I131" s="150"/>
      <c r="J131" s="150"/>
      <c r="K131" s="152"/>
      <c r="L131" s="152"/>
    </row>
    <row r="132" spans="1:12">
      <c r="A132" s="150">
        <v>131</v>
      </c>
      <c r="B132" s="150" t="s">
        <v>110</v>
      </c>
      <c r="C132" s="150">
        <v>8</v>
      </c>
      <c r="D132" s="151" t="s">
        <v>244</v>
      </c>
      <c r="E132" s="151" t="s">
        <v>183</v>
      </c>
      <c r="F132" s="150" t="s">
        <v>217</v>
      </c>
      <c r="G132" s="150"/>
      <c r="H132" s="150"/>
      <c r="I132" s="150"/>
      <c r="J132" s="150"/>
      <c r="K132" s="152"/>
      <c r="L132" s="152"/>
    </row>
    <row r="133" spans="1:12">
      <c r="A133" s="150">
        <v>132</v>
      </c>
      <c r="B133" s="150" t="s">
        <v>110</v>
      </c>
      <c r="C133" s="150">
        <v>9</v>
      </c>
      <c r="D133" s="151" t="s">
        <v>244</v>
      </c>
      <c r="E133" s="151" t="s">
        <v>228</v>
      </c>
      <c r="F133" s="150" t="s">
        <v>167</v>
      </c>
      <c r="G133" s="150"/>
      <c r="H133" s="150"/>
      <c r="I133" s="150"/>
      <c r="J133" s="150"/>
      <c r="K133" s="152"/>
      <c r="L133" s="152"/>
    </row>
    <row r="134" spans="1:12">
      <c r="A134" s="150">
        <v>133</v>
      </c>
      <c r="B134" s="150" t="s">
        <v>110</v>
      </c>
      <c r="C134" s="150">
        <v>2</v>
      </c>
      <c r="D134" s="151" t="s">
        <v>245</v>
      </c>
      <c r="E134" s="151" t="s">
        <v>186</v>
      </c>
      <c r="F134" s="150" t="s">
        <v>122</v>
      </c>
      <c r="G134" s="150"/>
      <c r="H134" s="150"/>
      <c r="I134" s="150"/>
      <c r="J134" s="150"/>
      <c r="K134" s="150"/>
      <c r="L134" s="150"/>
    </row>
    <row r="135" spans="1:12">
      <c r="A135" s="150">
        <v>134</v>
      </c>
      <c r="B135" s="150" t="s">
        <v>111</v>
      </c>
      <c r="C135" s="150">
        <v>3</v>
      </c>
      <c r="D135" s="151" t="s">
        <v>245</v>
      </c>
      <c r="E135" s="151" t="s">
        <v>190</v>
      </c>
      <c r="F135" s="150" t="s">
        <v>174</v>
      </c>
      <c r="G135" s="150"/>
      <c r="H135" s="150"/>
      <c r="I135" s="150"/>
      <c r="J135" s="150"/>
      <c r="K135" s="150"/>
      <c r="L135" s="150"/>
    </row>
    <row r="136" spans="1:12">
      <c r="A136" s="150">
        <v>135</v>
      </c>
      <c r="B136" s="150" t="s">
        <v>111</v>
      </c>
      <c r="C136" s="150">
        <v>2</v>
      </c>
      <c r="D136" s="151" t="s">
        <v>245</v>
      </c>
      <c r="E136" s="151" t="s">
        <v>114</v>
      </c>
      <c r="F136" s="150" t="s">
        <v>116</v>
      </c>
      <c r="G136" s="150"/>
      <c r="H136" s="150"/>
      <c r="I136" s="150"/>
      <c r="J136" s="150"/>
      <c r="K136" s="150"/>
      <c r="L136" s="150"/>
    </row>
    <row r="137" spans="1:12">
      <c r="A137" s="150">
        <v>136</v>
      </c>
      <c r="B137" s="150" t="s">
        <v>191</v>
      </c>
      <c r="C137" s="150">
        <v>1</v>
      </c>
      <c r="D137" s="151" t="s">
        <v>245</v>
      </c>
      <c r="E137" s="151" t="s">
        <v>98</v>
      </c>
      <c r="F137" s="150" t="s">
        <v>176</v>
      </c>
      <c r="G137" s="150"/>
      <c r="H137" s="150"/>
      <c r="I137" s="150"/>
      <c r="J137" s="150"/>
      <c r="K137" s="150"/>
      <c r="L137" s="150"/>
    </row>
    <row r="138" spans="1:12">
      <c r="A138" s="150">
        <v>137</v>
      </c>
      <c r="B138" s="150" t="s">
        <v>111</v>
      </c>
      <c r="C138" s="150">
        <v>2</v>
      </c>
      <c r="D138" s="151" t="s">
        <v>245</v>
      </c>
      <c r="E138" s="151" t="s">
        <v>119</v>
      </c>
      <c r="F138" s="150" t="s">
        <v>178</v>
      </c>
      <c r="G138" s="150"/>
      <c r="H138" s="150"/>
      <c r="I138" s="150"/>
      <c r="J138" s="150"/>
      <c r="K138" s="150"/>
      <c r="L138" s="150"/>
    </row>
    <row r="139" spans="1:12">
      <c r="A139" s="150">
        <v>138</v>
      </c>
      <c r="B139" s="150" t="s">
        <v>110</v>
      </c>
      <c r="C139" s="150">
        <v>3</v>
      </c>
      <c r="D139" s="151" t="s">
        <v>245</v>
      </c>
      <c r="E139" s="151" t="s">
        <v>192</v>
      </c>
      <c r="F139" s="150" t="s">
        <v>240</v>
      </c>
      <c r="G139" s="150"/>
      <c r="H139" s="150"/>
      <c r="I139" s="150"/>
      <c r="J139" s="150"/>
      <c r="K139" s="150"/>
      <c r="L139" s="150"/>
    </row>
    <row r="140" spans="1:12">
      <c r="A140" s="150">
        <v>139</v>
      </c>
      <c r="B140" s="150" t="s">
        <v>110</v>
      </c>
      <c r="C140" s="150">
        <v>3</v>
      </c>
      <c r="D140" s="151" t="s">
        <v>245</v>
      </c>
      <c r="E140" s="151" t="s">
        <v>121</v>
      </c>
      <c r="F140" s="150" t="s">
        <v>237</v>
      </c>
      <c r="G140" s="150"/>
      <c r="H140" s="150"/>
      <c r="I140" s="150"/>
      <c r="J140" s="150"/>
      <c r="K140" s="150"/>
      <c r="L140" s="150"/>
    </row>
    <row r="141" spans="1:12">
      <c r="A141" s="150">
        <v>140</v>
      </c>
      <c r="B141" s="150" t="s">
        <v>109</v>
      </c>
      <c r="C141" s="150">
        <v>1</v>
      </c>
      <c r="D141" s="151" t="s">
        <v>245</v>
      </c>
      <c r="E141" s="151" t="s">
        <v>157</v>
      </c>
      <c r="F141" s="150" t="s">
        <v>149</v>
      </c>
      <c r="G141" s="150">
        <v>4</v>
      </c>
      <c r="H141" s="150">
        <v>4</v>
      </c>
      <c r="I141" s="150"/>
      <c r="J141" s="150"/>
      <c r="K141" s="152">
        <f>IF($G141-$H141=8,6,IF($G141-$H141&gt;0,5,IF($G141-$H141=0,3,IF($G141-$H141=-2,2,1))))+I141</f>
        <v>3</v>
      </c>
      <c r="L141" s="152">
        <f>IF($H141-$G141=8,6,IF($H141-$G141&gt;0,5,IF($H141-$G141=0,3,IF($H141-$G141=-2,2,1))))+J141</f>
        <v>3</v>
      </c>
    </row>
    <row r="142" spans="1:12">
      <c r="A142" s="150">
        <v>141</v>
      </c>
      <c r="B142" s="150" t="s">
        <v>111</v>
      </c>
      <c r="C142" s="150">
        <v>4</v>
      </c>
      <c r="D142" s="151" t="s">
        <v>245</v>
      </c>
      <c r="E142" s="151" t="s">
        <v>123</v>
      </c>
      <c r="F142" s="150" t="s">
        <v>124</v>
      </c>
      <c r="G142" s="150"/>
      <c r="H142" s="150"/>
      <c r="I142" s="150"/>
      <c r="J142" s="150"/>
      <c r="K142" s="150"/>
      <c r="L142" s="150"/>
    </row>
    <row r="143" spans="1:12">
      <c r="A143" s="150">
        <v>142</v>
      </c>
      <c r="B143" s="150" t="s">
        <v>110</v>
      </c>
      <c r="C143" s="150">
        <v>7</v>
      </c>
      <c r="D143" s="151" t="s">
        <v>245</v>
      </c>
      <c r="E143" s="151" t="s">
        <v>207</v>
      </c>
      <c r="F143" s="150" t="s">
        <v>125</v>
      </c>
      <c r="G143" s="150">
        <v>2</v>
      </c>
      <c r="H143" s="150">
        <v>6</v>
      </c>
      <c r="I143" s="150"/>
      <c r="J143" s="150"/>
      <c r="K143" s="152">
        <f>IF($G143-$H143=8,6,IF($G143-$H143&gt;0,5,IF($G143-$H143=0,3,IF($G143-$H143=-2,2,1))))+I143</f>
        <v>1</v>
      </c>
      <c r="L143" s="152">
        <f>IF($H143-$G143=8,6,IF($H143-$G143&gt;0,5,IF($H143-$G143=0,3,IF($H143-$G143=-2,2,1))))+J143</f>
        <v>5</v>
      </c>
    </row>
    <row r="144" spans="1:12">
      <c r="A144" s="150">
        <v>143</v>
      </c>
      <c r="B144" s="150" t="s">
        <v>111</v>
      </c>
      <c r="C144" s="150">
        <v>4</v>
      </c>
      <c r="D144" s="151" t="s">
        <v>245</v>
      </c>
      <c r="E144" s="151" t="s">
        <v>193</v>
      </c>
      <c r="F144" s="150" t="s">
        <v>126</v>
      </c>
      <c r="G144" s="150"/>
      <c r="H144" s="150"/>
      <c r="I144" s="150"/>
      <c r="J144" s="150"/>
      <c r="K144" s="150"/>
      <c r="L144" s="150"/>
    </row>
    <row r="145" spans="1:12">
      <c r="A145" s="150">
        <v>144</v>
      </c>
      <c r="B145" s="150" t="s">
        <v>109</v>
      </c>
      <c r="C145" s="150">
        <v>2</v>
      </c>
      <c r="D145" s="151" t="s">
        <v>245</v>
      </c>
      <c r="E145" s="151" t="s">
        <v>182</v>
      </c>
      <c r="F145" s="150" t="s">
        <v>150</v>
      </c>
      <c r="G145" s="150"/>
      <c r="H145" s="150"/>
      <c r="I145" s="150"/>
      <c r="J145" s="150"/>
      <c r="K145" s="150"/>
      <c r="L145" s="150"/>
    </row>
    <row r="146" spans="1:12">
      <c r="A146" s="150">
        <v>145</v>
      </c>
      <c r="B146" s="150" t="s">
        <v>110</v>
      </c>
      <c r="C146" s="150">
        <v>8</v>
      </c>
      <c r="D146" s="151" t="s">
        <v>245</v>
      </c>
      <c r="E146" s="151" t="s">
        <v>194</v>
      </c>
      <c r="F146" s="150" t="s">
        <v>211</v>
      </c>
      <c r="G146" s="150"/>
      <c r="H146" s="150"/>
      <c r="I146" s="150"/>
      <c r="J146" s="150"/>
      <c r="K146" s="150"/>
      <c r="L146" s="150"/>
    </row>
    <row r="147" spans="1:12">
      <c r="A147" s="150">
        <v>146</v>
      </c>
      <c r="B147" s="150" t="s">
        <v>110</v>
      </c>
      <c r="C147" s="150">
        <v>8</v>
      </c>
      <c r="D147" s="151" t="s">
        <v>245</v>
      </c>
      <c r="E147" s="151" t="s">
        <v>217</v>
      </c>
      <c r="F147" s="150" t="s">
        <v>242</v>
      </c>
      <c r="G147" s="150"/>
      <c r="H147" s="150"/>
      <c r="I147" s="150"/>
      <c r="J147" s="150"/>
      <c r="K147" s="150"/>
      <c r="L147" s="150"/>
    </row>
    <row r="148" spans="1:12">
      <c r="A148" s="150">
        <v>147</v>
      </c>
      <c r="B148" s="150" t="s">
        <v>110</v>
      </c>
      <c r="C148" s="150">
        <v>6</v>
      </c>
      <c r="D148" s="151" t="s">
        <v>245</v>
      </c>
      <c r="E148" s="151" t="s">
        <v>195</v>
      </c>
      <c r="F148" s="150" t="s">
        <v>206</v>
      </c>
      <c r="G148" s="150"/>
      <c r="H148" s="150"/>
      <c r="I148" s="150"/>
      <c r="J148" s="150"/>
      <c r="K148" s="152"/>
      <c r="L148" s="152"/>
    </row>
    <row r="149" spans="1:12">
      <c r="A149" s="150">
        <v>148</v>
      </c>
      <c r="B149" s="150" t="s">
        <v>109</v>
      </c>
      <c r="C149" s="150">
        <v>2</v>
      </c>
      <c r="D149" s="151" t="s">
        <v>245</v>
      </c>
      <c r="E149" s="151" t="s">
        <v>129</v>
      </c>
      <c r="F149" s="150" t="s">
        <v>220</v>
      </c>
      <c r="G149" s="150"/>
      <c r="H149" s="150"/>
      <c r="I149" s="150"/>
      <c r="J149" s="150"/>
      <c r="K149" s="150"/>
      <c r="L149" s="150"/>
    </row>
    <row r="150" spans="1:12">
      <c r="A150" s="150">
        <v>149</v>
      </c>
      <c r="B150" s="150" t="s">
        <v>110</v>
      </c>
      <c r="C150" s="150">
        <v>6</v>
      </c>
      <c r="D150" s="151" t="s">
        <v>245</v>
      </c>
      <c r="E150" s="151" t="s">
        <v>230</v>
      </c>
      <c r="F150" s="150" t="s">
        <v>229</v>
      </c>
      <c r="G150" s="150"/>
      <c r="H150" s="150"/>
      <c r="I150" s="150"/>
      <c r="J150" s="150"/>
      <c r="K150" s="150"/>
      <c r="L150" s="150"/>
    </row>
    <row r="151" spans="1:12">
      <c r="A151" s="150">
        <v>150</v>
      </c>
      <c r="B151" s="150" t="s">
        <v>111</v>
      </c>
      <c r="C151" s="150">
        <v>5</v>
      </c>
      <c r="D151" s="151" t="s">
        <v>245</v>
      </c>
      <c r="E151" s="151" t="s">
        <v>175</v>
      </c>
      <c r="F151" s="150" t="s">
        <v>156</v>
      </c>
      <c r="G151" s="150"/>
      <c r="H151" s="150"/>
      <c r="I151" s="150"/>
      <c r="J151" s="150"/>
      <c r="K151" s="150"/>
      <c r="L151" s="150"/>
    </row>
    <row r="152" spans="1:12">
      <c r="A152" s="150">
        <v>151</v>
      </c>
      <c r="B152" s="150" t="s">
        <v>110</v>
      </c>
      <c r="C152" s="150">
        <v>2</v>
      </c>
      <c r="D152" s="151" t="s">
        <v>245</v>
      </c>
      <c r="E152" s="151" t="s">
        <v>215</v>
      </c>
      <c r="F152" s="150" t="s">
        <v>112</v>
      </c>
      <c r="G152" s="150"/>
      <c r="H152" s="150"/>
      <c r="I152" s="150"/>
      <c r="J152" s="150"/>
      <c r="K152" s="150"/>
      <c r="L152" s="150"/>
    </row>
    <row r="153" spans="1:12">
      <c r="A153" s="150">
        <v>152</v>
      </c>
      <c r="B153" s="150" t="s">
        <v>111</v>
      </c>
      <c r="C153" s="150">
        <v>1</v>
      </c>
      <c r="D153" s="151" t="s">
        <v>245</v>
      </c>
      <c r="E153" s="151" t="s">
        <v>218</v>
      </c>
      <c r="F153" s="150" t="s">
        <v>136</v>
      </c>
      <c r="G153" s="150"/>
      <c r="H153" s="150"/>
      <c r="I153" s="150"/>
      <c r="J153" s="150"/>
      <c r="K153" s="150"/>
      <c r="L153" s="150"/>
    </row>
    <row r="154" spans="1:12">
      <c r="A154" s="150">
        <v>153</v>
      </c>
      <c r="B154" s="150" t="s">
        <v>110</v>
      </c>
      <c r="C154" s="150">
        <v>1</v>
      </c>
      <c r="D154" s="151" t="s">
        <v>245</v>
      </c>
      <c r="E154" s="151" t="s">
        <v>219</v>
      </c>
      <c r="F154" s="150" t="s">
        <v>130</v>
      </c>
      <c r="G154" s="150"/>
      <c r="H154" s="150"/>
      <c r="I154" s="150"/>
      <c r="J154" s="150"/>
      <c r="K154" s="150"/>
      <c r="L154" s="150"/>
    </row>
    <row r="155" spans="1:12">
      <c r="A155" s="150">
        <v>154</v>
      </c>
      <c r="B155" s="150" t="s">
        <v>191</v>
      </c>
      <c r="C155" s="150">
        <v>1</v>
      </c>
      <c r="D155" s="151" t="s">
        <v>245</v>
      </c>
      <c r="E155" s="151" t="s">
        <v>177</v>
      </c>
      <c r="F155" s="150" t="s">
        <v>151</v>
      </c>
      <c r="G155" s="150"/>
      <c r="H155" s="150"/>
      <c r="I155" s="150"/>
      <c r="J155" s="150"/>
      <c r="K155" s="150"/>
      <c r="L155" s="150"/>
    </row>
    <row r="156" spans="1:12">
      <c r="A156" s="150">
        <v>155</v>
      </c>
      <c r="B156" s="150" t="s">
        <v>111</v>
      </c>
      <c r="C156" s="150">
        <v>1</v>
      </c>
      <c r="D156" s="151" t="s">
        <v>245</v>
      </c>
      <c r="E156" s="151" t="s">
        <v>115</v>
      </c>
      <c r="F156" s="150" t="s">
        <v>137</v>
      </c>
      <c r="G156" s="150"/>
      <c r="H156" s="150"/>
      <c r="I156" s="150"/>
      <c r="J156" s="150"/>
      <c r="K156" s="150"/>
      <c r="L156" s="150"/>
    </row>
    <row r="157" spans="1:12">
      <c r="A157" s="150">
        <v>156</v>
      </c>
      <c r="B157" s="150" t="s">
        <v>110</v>
      </c>
      <c r="C157" s="150">
        <v>1</v>
      </c>
      <c r="D157" s="151" t="s">
        <v>245</v>
      </c>
      <c r="E157" s="151" t="s">
        <v>196</v>
      </c>
      <c r="F157" s="150" t="s">
        <v>131</v>
      </c>
      <c r="G157" s="150"/>
      <c r="H157" s="150"/>
      <c r="I157" s="150"/>
      <c r="J157" s="150"/>
      <c r="K157" s="152"/>
      <c r="L157" s="152"/>
    </row>
    <row r="158" spans="1:12">
      <c r="A158" s="150">
        <v>157</v>
      </c>
      <c r="B158" s="150" t="s">
        <v>111</v>
      </c>
      <c r="C158" s="150">
        <v>1</v>
      </c>
      <c r="D158" s="151" t="s">
        <v>245</v>
      </c>
      <c r="E158" s="151" t="s">
        <v>132</v>
      </c>
      <c r="F158" s="150" t="s">
        <v>133</v>
      </c>
      <c r="G158" s="150"/>
      <c r="H158" s="150"/>
      <c r="I158" s="150"/>
      <c r="J158" s="150"/>
      <c r="K158" s="150"/>
      <c r="L158" s="150"/>
    </row>
    <row r="159" spans="1:12">
      <c r="A159" s="150">
        <v>158</v>
      </c>
      <c r="B159" s="150" t="s">
        <v>110</v>
      </c>
      <c r="C159" s="150">
        <v>2</v>
      </c>
      <c r="D159" s="151" t="s">
        <v>245</v>
      </c>
      <c r="E159" s="151" t="s">
        <v>189</v>
      </c>
      <c r="F159" s="150" t="s">
        <v>187</v>
      </c>
      <c r="G159" s="150"/>
      <c r="H159" s="150"/>
      <c r="I159" s="150"/>
      <c r="J159" s="150"/>
      <c r="K159" s="152"/>
      <c r="L159" s="152"/>
    </row>
    <row r="160" spans="1:12">
      <c r="A160" s="150">
        <v>159</v>
      </c>
      <c r="B160" s="150" t="s">
        <v>109</v>
      </c>
      <c r="C160" s="150">
        <v>2</v>
      </c>
      <c r="D160" s="151" t="s">
        <v>245</v>
      </c>
      <c r="E160" s="151" t="s">
        <v>118</v>
      </c>
      <c r="F160" s="150" t="s">
        <v>198</v>
      </c>
      <c r="G160" s="150"/>
      <c r="H160" s="150"/>
      <c r="I160" s="150"/>
      <c r="J160" s="150"/>
      <c r="K160" s="150"/>
      <c r="L160" s="150"/>
    </row>
    <row r="161" spans="1:12">
      <c r="A161" s="150">
        <v>160</v>
      </c>
      <c r="B161" s="150" t="s">
        <v>110</v>
      </c>
      <c r="C161" s="150">
        <v>1</v>
      </c>
      <c r="D161" s="151" t="s">
        <v>245</v>
      </c>
      <c r="E161" s="151" t="s">
        <v>197</v>
      </c>
      <c r="F161" s="150" t="s">
        <v>138</v>
      </c>
    </row>
    <row r="162" spans="1:12">
      <c r="A162" s="150">
        <v>161</v>
      </c>
      <c r="B162" s="150" t="s">
        <v>111</v>
      </c>
      <c r="C162" s="150">
        <v>6</v>
      </c>
      <c r="D162" s="151" t="s">
        <v>245</v>
      </c>
      <c r="E162" s="151" t="s">
        <v>96</v>
      </c>
      <c r="F162" s="150" t="s">
        <v>147</v>
      </c>
    </row>
    <row r="163" spans="1:12">
      <c r="A163" s="150">
        <v>162</v>
      </c>
      <c r="B163" s="150" t="s">
        <v>191</v>
      </c>
      <c r="C163" s="150">
        <v>1</v>
      </c>
      <c r="D163" s="151" t="s">
        <v>245</v>
      </c>
      <c r="E163" s="151" t="s">
        <v>139</v>
      </c>
      <c r="F163" s="150" t="s">
        <v>135</v>
      </c>
    </row>
    <row r="164" spans="1:12">
      <c r="A164" s="150">
        <v>163</v>
      </c>
      <c r="B164" s="150" t="s">
        <v>111</v>
      </c>
      <c r="C164" s="150">
        <v>5</v>
      </c>
      <c r="D164" s="151" t="s">
        <v>245</v>
      </c>
      <c r="E164" s="151" t="s">
        <v>141</v>
      </c>
      <c r="F164" s="150" t="s">
        <v>154</v>
      </c>
    </row>
    <row r="165" spans="1:12">
      <c r="A165" s="150">
        <v>164</v>
      </c>
      <c r="B165" s="150" t="s">
        <v>110</v>
      </c>
      <c r="C165" s="150">
        <v>12</v>
      </c>
      <c r="D165" s="151" t="s">
        <v>245</v>
      </c>
      <c r="E165" s="151" t="s">
        <v>143</v>
      </c>
      <c r="F165" s="150" t="s">
        <v>152</v>
      </c>
    </row>
    <row r="166" spans="1:12">
      <c r="A166" s="150">
        <v>165</v>
      </c>
      <c r="B166" s="150" t="s">
        <v>111</v>
      </c>
      <c r="C166" s="150">
        <v>6</v>
      </c>
      <c r="D166" s="151" t="s">
        <v>245</v>
      </c>
      <c r="E166" s="151" t="s">
        <v>159</v>
      </c>
      <c r="F166" s="150" t="s">
        <v>144</v>
      </c>
    </row>
    <row r="167" spans="1:12">
      <c r="A167" s="150">
        <v>166</v>
      </c>
      <c r="B167" s="150" t="s">
        <v>110</v>
      </c>
      <c r="C167" s="150">
        <v>12</v>
      </c>
      <c r="D167" s="151" t="s">
        <v>245</v>
      </c>
      <c r="E167" s="151" t="s">
        <v>146</v>
      </c>
      <c r="F167" s="150" t="s">
        <v>224</v>
      </c>
    </row>
    <row r="168" spans="1:12">
      <c r="A168" s="150">
        <v>167</v>
      </c>
      <c r="B168" s="150" t="s">
        <v>191</v>
      </c>
      <c r="C168" s="150">
        <v>2</v>
      </c>
      <c r="D168" s="151" t="s">
        <v>245</v>
      </c>
      <c r="E168" s="151" t="s">
        <v>164</v>
      </c>
      <c r="F168" s="150" t="s">
        <v>134</v>
      </c>
    </row>
    <row r="169" spans="1:12">
      <c r="A169" s="150">
        <v>168</v>
      </c>
      <c r="B169" s="150" t="s">
        <v>109</v>
      </c>
      <c r="C169" s="150">
        <v>1</v>
      </c>
      <c r="D169" s="151" t="s">
        <v>245</v>
      </c>
      <c r="E169" s="151" t="s">
        <v>199</v>
      </c>
      <c r="F169" s="150" t="s">
        <v>97</v>
      </c>
      <c r="G169" s="153">
        <v>2</v>
      </c>
      <c r="H169" s="153">
        <v>6</v>
      </c>
      <c r="I169">
        <v>-1</v>
      </c>
      <c r="K169" s="152">
        <f>IF($G169-$H169=8,6,IF($G169-$H169&gt;0,5,IF($G169-$H169=0,3,IF($G169-$H169=-2,2,1))))+I169</f>
        <v>0</v>
      </c>
      <c r="L169" s="152">
        <f>IF($H169-$G169=8,6,IF($H169-$G169&gt;0,5,IF($H169-$G169=0,3,IF($H169-$G169=-2,2,1))))+J169</f>
        <v>5</v>
      </c>
    </row>
    <row r="170" spans="1:12">
      <c r="A170" s="150">
        <v>169</v>
      </c>
      <c r="B170" s="150" t="s">
        <v>110</v>
      </c>
      <c r="C170" s="150">
        <v>11</v>
      </c>
      <c r="D170" s="151" t="s">
        <v>245</v>
      </c>
      <c r="E170" s="151" t="s">
        <v>200</v>
      </c>
      <c r="F170" s="150" t="s">
        <v>148</v>
      </c>
    </row>
    <row r="171" spans="1:12">
      <c r="A171" s="150">
        <v>170</v>
      </c>
      <c r="B171" s="150" t="s">
        <v>111</v>
      </c>
      <c r="C171" s="150">
        <v>6</v>
      </c>
      <c r="D171" s="151" t="s">
        <v>245</v>
      </c>
      <c r="E171" s="151" t="s">
        <v>153</v>
      </c>
      <c r="F171" s="150" t="s">
        <v>155</v>
      </c>
    </row>
    <row r="172" spans="1:12">
      <c r="A172" s="150">
        <v>171</v>
      </c>
      <c r="B172" s="150" t="s">
        <v>110</v>
      </c>
      <c r="C172" s="150">
        <v>12</v>
      </c>
      <c r="D172" s="151" t="s">
        <v>245</v>
      </c>
      <c r="E172" s="151" t="s">
        <v>221</v>
      </c>
      <c r="F172" s="150" t="s">
        <v>225</v>
      </c>
    </row>
    <row r="173" spans="1:12">
      <c r="A173" s="150">
        <v>172</v>
      </c>
      <c r="B173" s="150" t="s">
        <v>110</v>
      </c>
      <c r="C173" s="150">
        <v>10</v>
      </c>
      <c r="D173" s="151" t="s">
        <v>245</v>
      </c>
      <c r="E173" s="151" t="s">
        <v>202</v>
      </c>
      <c r="F173" s="150" t="s">
        <v>201</v>
      </c>
    </row>
    <row r="174" spans="1:12">
      <c r="A174" s="150">
        <v>173</v>
      </c>
      <c r="B174" s="150" t="s">
        <v>110</v>
      </c>
      <c r="C174" s="150">
        <v>11</v>
      </c>
      <c r="D174" s="151" t="s">
        <v>245</v>
      </c>
      <c r="E174" s="151" t="s">
        <v>227</v>
      </c>
      <c r="F174" s="150" t="s">
        <v>145</v>
      </c>
    </row>
    <row r="175" spans="1:12">
      <c r="A175" s="150">
        <v>174</v>
      </c>
      <c r="B175" s="150" t="s">
        <v>110</v>
      </c>
      <c r="C175" s="150">
        <v>9</v>
      </c>
      <c r="D175" s="151" t="s">
        <v>245</v>
      </c>
      <c r="E175" s="151" t="s">
        <v>158</v>
      </c>
      <c r="F175" s="150" t="s">
        <v>167</v>
      </c>
    </row>
    <row r="176" spans="1:12">
      <c r="A176" s="150">
        <v>175</v>
      </c>
      <c r="B176" s="150" t="s">
        <v>111</v>
      </c>
      <c r="C176" s="150">
        <v>3</v>
      </c>
      <c r="D176" s="151" t="s">
        <v>245</v>
      </c>
      <c r="E176" s="151" t="s">
        <v>205</v>
      </c>
      <c r="F176" s="150" t="s">
        <v>181</v>
      </c>
    </row>
    <row r="177" spans="1:12">
      <c r="A177" s="150">
        <v>176</v>
      </c>
      <c r="B177" s="150" t="s">
        <v>191</v>
      </c>
      <c r="C177" s="150">
        <v>2</v>
      </c>
      <c r="D177" s="151" t="s">
        <v>245</v>
      </c>
      <c r="E177" s="151" t="s">
        <v>203</v>
      </c>
      <c r="F177" s="150" t="s">
        <v>140</v>
      </c>
      <c r="G177" s="153"/>
      <c r="H177" s="153"/>
      <c r="K177" s="152"/>
      <c r="L177" s="152"/>
    </row>
    <row r="178" spans="1:12">
      <c r="A178" s="150">
        <v>177</v>
      </c>
      <c r="B178" s="150" t="s">
        <v>111</v>
      </c>
      <c r="C178" s="150">
        <v>3</v>
      </c>
      <c r="D178" s="151" t="s">
        <v>245</v>
      </c>
      <c r="E178" s="151" t="s">
        <v>204</v>
      </c>
      <c r="F178" s="150" t="s">
        <v>169</v>
      </c>
    </row>
    <row r="179" spans="1:12">
      <c r="A179" s="150">
        <v>178</v>
      </c>
      <c r="B179" s="150" t="s">
        <v>110</v>
      </c>
      <c r="C179" s="150">
        <v>6</v>
      </c>
      <c r="D179" s="151" t="s">
        <v>245</v>
      </c>
      <c r="E179" s="151" t="s">
        <v>128</v>
      </c>
      <c r="F179" s="150" t="s">
        <v>188</v>
      </c>
      <c r="G179" s="153"/>
      <c r="H179" s="153"/>
      <c r="K179" s="152"/>
      <c r="L179" s="152"/>
    </row>
    <row r="180" spans="1:12">
      <c r="A180" s="150">
        <v>179</v>
      </c>
      <c r="B180" s="150" t="s">
        <v>110</v>
      </c>
      <c r="C180" s="150">
        <v>5</v>
      </c>
      <c r="D180" s="151" t="s">
        <v>245</v>
      </c>
      <c r="E180" s="151" t="s">
        <v>232</v>
      </c>
      <c r="F180" s="150" t="s">
        <v>209</v>
      </c>
    </row>
    <row r="181" spans="1:12">
      <c r="A181" s="150">
        <v>180</v>
      </c>
      <c r="B181" s="150" t="s">
        <v>110</v>
      </c>
      <c r="C181" s="150">
        <v>9</v>
      </c>
      <c r="D181" s="151" t="s">
        <v>245</v>
      </c>
      <c r="E181" s="151" t="s">
        <v>166</v>
      </c>
      <c r="F181" s="150" t="s">
        <v>233</v>
      </c>
    </row>
    <row r="182" spans="1:12">
      <c r="A182" s="150">
        <v>181</v>
      </c>
      <c r="B182" s="150" t="s">
        <v>110</v>
      </c>
      <c r="C182" s="150">
        <v>10</v>
      </c>
      <c r="D182" s="151" t="s">
        <v>245</v>
      </c>
      <c r="E182" s="151" t="s">
        <v>226</v>
      </c>
      <c r="F182" s="150" t="s">
        <v>222</v>
      </c>
    </row>
    <row r="183" spans="1:12">
      <c r="A183" s="150">
        <v>182</v>
      </c>
      <c r="B183" s="150" t="s">
        <v>110</v>
      </c>
      <c r="C183" s="150">
        <v>10</v>
      </c>
      <c r="D183" s="151" t="s">
        <v>245</v>
      </c>
      <c r="E183" s="151" t="s">
        <v>234</v>
      </c>
      <c r="F183" s="150" t="s">
        <v>142</v>
      </c>
    </row>
    <row r="184" spans="1:12">
      <c r="A184" s="150">
        <v>183</v>
      </c>
      <c r="B184" s="150" t="s">
        <v>111</v>
      </c>
      <c r="C184" s="150">
        <v>4</v>
      </c>
      <c r="D184" s="151" t="s">
        <v>245</v>
      </c>
      <c r="E184" s="151" t="s">
        <v>162</v>
      </c>
      <c r="F184" s="150" t="s">
        <v>160</v>
      </c>
    </row>
    <row r="185" spans="1:12">
      <c r="A185" s="150">
        <v>184</v>
      </c>
      <c r="B185" s="150" t="s">
        <v>109</v>
      </c>
      <c r="C185" s="150">
        <v>1</v>
      </c>
      <c r="D185" s="151" t="s">
        <v>245</v>
      </c>
      <c r="E185" s="151" t="s">
        <v>163</v>
      </c>
      <c r="F185" s="150" t="s">
        <v>113</v>
      </c>
      <c r="G185" s="153">
        <v>5</v>
      </c>
      <c r="H185" s="153">
        <v>3</v>
      </c>
      <c r="K185" s="152">
        <f>IF($G185-$H185=8,6,IF($G185-$H185&gt;0,5,IF($G185-$H185=0,3,IF($G185-$H185=-2,2,1))))+I185</f>
        <v>5</v>
      </c>
      <c r="L185" s="152">
        <f>IF($H185-$G185=8,6,IF($H185-$G185&gt;0,5,IF($H185-$G185=0,3,IF($H185-$G185=-2,2,1))))+J185</f>
        <v>2</v>
      </c>
    </row>
    <row r="186" spans="1:12">
      <c r="A186" s="150">
        <v>185</v>
      </c>
      <c r="B186" s="150" t="s">
        <v>110</v>
      </c>
      <c r="C186" s="150">
        <v>11</v>
      </c>
      <c r="D186" s="151" t="s">
        <v>245</v>
      </c>
      <c r="E186" s="151" t="s">
        <v>165</v>
      </c>
      <c r="F186" s="150" t="s">
        <v>223</v>
      </c>
    </row>
    <row r="187" spans="1:12">
      <c r="A187" s="150">
        <v>186</v>
      </c>
      <c r="B187" s="150" t="s">
        <v>111</v>
      </c>
      <c r="C187" s="150">
        <v>5</v>
      </c>
      <c r="D187" s="151" t="s">
        <v>245</v>
      </c>
      <c r="E187" s="151" t="s">
        <v>161</v>
      </c>
      <c r="F187" s="150" t="s">
        <v>127</v>
      </c>
    </row>
    <row r="188" spans="1:12">
      <c r="A188" s="150">
        <v>187</v>
      </c>
      <c r="B188" s="150" t="s">
        <v>110</v>
      </c>
      <c r="C188" s="150">
        <v>5</v>
      </c>
      <c r="D188" s="151" t="s">
        <v>245</v>
      </c>
      <c r="E188" s="151" t="s">
        <v>235</v>
      </c>
      <c r="F188" s="150" t="s">
        <v>171</v>
      </c>
    </row>
    <row r="189" spans="1:12">
      <c r="A189" s="150">
        <v>188</v>
      </c>
      <c r="B189" s="150" t="s">
        <v>110</v>
      </c>
      <c r="C189" s="150">
        <v>4</v>
      </c>
      <c r="D189" s="151" t="s">
        <v>245</v>
      </c>
      <c r="E189" s="151" t="s">
        <v>172</v>
      </c>
      <c r="F189" s="150" t="s">
        <v>238</v>
      </c>
    </row>
    <row r="190" spans="1:12">
      <c r="A190" s="150">
        <v>189</v>
      </c>
      <c r="B190" s="150" t="s">
        <v>110</v>
      </c>
      <c r="C190" s="150">
        <v>5</v>
      </c>
      <c r="D190" s="151" t="s">
        <v>245</v>
      </c>
      <c r="E190" s="151" t="s">
        <v>173</v>
      </c>
      <c r="F190" s="150" t="s">
        <v>231</v>
      </c>
    </row>
    <row r="191" spans="1:12">
      <c r="A191" s="150">
        <v>190</v>
      </c>
      <c r="B191" s="150" t="s">
        <v>110</v>
      </c>
      <c r="C191" s="150">
        <v>4</v>
      </c>
      <c r="D191" s="151" t="s">
        <v>245</v>
      </c>
      <c r="E191" s="151" t="s">
        <v>236</v>
      </c>
      <c r="F191" s="150" t="s">
        <v>170</v>
      </c>
    </row>
    <row r="192" spans="1:12">
      <c r="A192" s="150">
        <v>191</v>
      </c>
      <c r="B192" s="150" t="s">
        <v>110</v>
      </c>
      <c r="C192" s="150">
        <v>3</v>
      </c>
      <c r="D192" s="151" t="s">
        <v>245</v>
      </c>
      <c r="E192" s="151" t="s">
        <v>117</v>
      </c>
      <c r="F192" s="150" t="s">
        <v>239</v>
      </c>
    </row>
    <row r="193" spans="1:12">
      <c r="A193" s="150">
        <v>192</v>
      </c>
      <c r="B193" s="150" t="s">
        <v>191</v>
      </c>
      <c r="C193" s="150">
        <v>2</v>
      </c>
      <c r="D193" s="151" t="s">
        <v>245</v>
      </c>
      <c r="E193" s="151" t="s">
        <v>168</v>
      </c>
      <c r="F193" s="150" t="s">
        <v>92</v>
      </c>
      <c r="G193" s="150"/>
      <c r="H193" s="150"/>
      <c r="I193" s="150"/>
      <c r="J193" s="150"/>
      <c r="K193" s="150"/>
      <c r="L193" s="150"/>
    </row>
    <row r="194" spans="1:12">
      <c r="A194" s="150">
        <v>193</v>
      </c>
      <c r="B194" s="150" t="s">
        <v>110</v>
      </c>
      <c r="C194" s="150">
        <v>4</v>
      </c>
      <c r="D194" s="151" t="s">
        <v>245</v>
      </c>
      <c r="E194" s="151" t="s">
        <v>180</v>
      </c>
      <c r="F194" s="150" t="s">
        <v>210</v>
      </c>
      <c r="G194" s="150"/>
      <c r="H194" s="150"/>
      <c r="I194" s="150"/>
      <c r="J194" s="150"/>
      <c r="K194" s="150"/>
      <c r="L194" s="150"/>
    </row>
    <row r="195" spans="1:12">
      <c r="A195" s="150">
        <v>194</v>
      </c>
      <c r="B195" s="150" t="s">
        <v>111</v>
      </c>
      <c r="C195" s="150">
        <v>2</v>
      </c>
      <c r="D195" s="151" t="s">
        <v>245</v>
      </c>
      <c r="E195" s="151" t="s">
        <v>179</v>
      </c>
      <c r="F195" s="150" t="s">
        <v>120</v>
      </c>
      <c r="G195" s="150"/>
      <c r="H195" s="150"/>
      <c r="I195" s="150"/>
      <c r="J195" s="150"/>
      <c r="K195" s="150"/>
      <c r="L195" s="150"/>
    </row>
    <row r="196" spans="1:12">
      <c r="A196" s="150">
        <v>195</v>
      </c>
      <c r="B196" s="150" t="s">
        <v>110</v>
      </c>
      <c r="C196" s="150">
        <v>9</v>
      </c>
      <c r="D196" s="151" t="s">
        <v>245</v>
      </c>
      <c r="E196" s="151" t="s">
        <v>241</v>
      </c>
      <c r="F196" s="150" t="s">
        <v>228</v>
      </c>
      <c r="G196" s="150"/>
      <c r="H196" s="150"/>
      <c r="I196" s="150"/>
      <c r="J196" s="150"/>
      <c r="K196" s="152"/>
      <c r="L196" s="152"/>
    </row>
    <row r="197" spans="1:12">
      <c r="A197" s="150">
        <v>196</v>
      </c>
      <c r="B197" s="150" t="s">
        <v>110</v>
      </c>
      <c r="C197" s="150">
        <v>7</v>
      </c>
      <c r="D197" s="151" t="s">
        <v>245</v>
      </c>
      <c r="E197" s="151" t="s">
        <v>212</v>
      </c>
      <c r="F197" s="150" t="s">
        <v>216</v>
      </c>
      <c r="G197" s="150">
        <v>5</v>
      </c>
      <c r="H197" s="150">
        <v>3</v>
      </c>
      <c r="I197" s="150"/>
      <c r="J197" s="150"/>
      <c r="K197" s="152">
        <f>IF($G197-$H197=8,6,IF($G197-$H197&gt;0,5,IF($G197-$H197=0,3,IF($G197-$H197=-2,2,1))))+I197</f>
        <v>5</v>
      </c>
      <c r="L197" s="152">
        <f>IF($H197-$G197=8,6,IF($H197-$G197&gt;0,5,IF($H197-$G197=0,3,IF($H197-$G197=-2,2,1))))+J197</f>
        <v>2</v>
      </c>
    </row>
    <row r="198" spans="1:12">
      <c r="A198" s="150">
        <v>197</v>
      </c>
      <c r="B198" s="150" t="s">
        <v>110</v>
      </c>
      <c r="C198" s="150">
        <v>8</v>
      </c>
      <c r="D198" s="151" t="s">
        <v>245</v>
      </c>
      <c r="E198" s="151" t="s">
        <v>183</v>
      </c>
      <c r="F198" s="150" t="s">
        <v>208</v>
      </c>
      <c r="G198" s="150"/>
      <c r="H198" s="150"/>
      <c r="I198" s="150"/>
      <c r="J198" s="150"/>
      <c r="K198" s="152"/>
      <c r="L198" s="152"/>
    </row>
    <row r="199" spans="1:12">
      <c r="A199" s="150">
        <v>198</v>
      </c>
      <c r="B199" s="150" t="s">
        <v>110</v>
      </c>
      <c r="C199" s="150">
        <v>7</v>
      </c>
      <c r="D199" s="151" t="s">
        <v>245</v>
      </c>
      <c r="E199" s="151" t="s">
        <v>184</v>
      </c>
      <c r="F199" s="150" t="s">
        <v>213</v>
      </c>
      <c r="G199" s="150">
        <v>5</v>
      </c>
      <c r="H199" s="150">
        <v>3</v>
      </c>
      <c r="I199" s="150"/>
      <c r="J199" s="150"/>
      <c r="K199" s="152">
        <f>IF($G199-$H199=8,6,IF($G199-$H199&gt;0,5,IF($G199-$H199=0,3,IF($G199-$H199=-2,2,1))))+I199</f>
        <v>5</v>
      </c>
      <c r="L199" s="152">
        <f>IF($H199-$G199=8,6,IF($H199-$G199&gt;0,5,IF($H199-$G199=0,3,IF($H199-$G199=-2,2,1))))+J199</f>
        <v>2</v>
      </c>
    </row>
    <row r="200" spans="1:12">
      <c r="A200" s="150">
        <v>199</v>
      </c>
      <c r="B200" s="150" t="s">
        <v>110</v>
      </c>
      <c r="C200" s="150">
        <v>2</v>
      </c>
      <c r="D200" s="151" t="s">
        <v>246</v>
      </c>
      <c r="E200" s="151" t="s">
        <v>187</v>
      </c>
      <c r="F200" s="150" t="s">
        <v>186</v>
      </c>
      <c r="G200" s="150"/>
      <c r="H200" s="150"/>
      <c r="I200" s="150"/>
      <c r="J200" s="150"/>
      <c r="K200" s="150"/>
      <c r="L200" s="150"/>
    </row>
    <row r="201" spans="1:12">
      <c r="A201" s="150">
        <v>200</v>
      </c>
      <c r="B201" s="150" t="s">
        <v>110</v>
      </c>
      <c r="C201" s="150">
        <v>6</v>
      </c>
      <c r="D201" s="151" t="s">
        <v>246</v>
      </c>
      <c r="E201" s="151" t="s">
        <v>188</v>
      </c>
      <c r="F201" s="150" t="s">
        <v>230</v>
      </c>
      <c r="G201" s="150"/>
      <c r="H201" s="150"/>
      <c r="I201" s="150"/>
      <c r="J201" s="150"/>
      <c r="K201" s="150"/>
      <c r="L201" s="150"/>
    </row>
    <row r="202" spans="1:12">
      <c r="A202" s="150">
        <v>201</v>
      </c>
      <c r="B202" s="150" t="s">
        <v>111</v>
      </c>
      <c r="C202" s="150">
        <v>3</v>
      </c>
      <c r="D202" s="151" t="s">
        <v>246</v>
      </c>
      <c r="E202" s="151" t="s">
        <v>190</v>
      </c>
      <c r="F202" s="150" t="s">
        <v>181</v>
      </c>
      <c r="G202" s="150"/>
      <c r="H202" s="150"/>
      <c r="I202" s="150"/>
      <c r="J202" s="150"/>
      <c r="K202" s="150"/>
      <c r="L202" s="150"/>
    </row>
    <row r="203" spans="1:12">
      <c r="A203" s="150">
        <v>202</v>
      </c>
      <c r="B203" s="150" t="s">
        <v>111</v>
      </c>
      <c r="C203" s="150">
        <v>2</v>
      </c>
      <c r="D203" s="151" t="s">
        <v>246</v>
      </c>
      <c r="E203" s="151" t="s">
        <v>116</v>
      </c>
      <c r="F203" s="150" t="s">
        <v>179</v>
      </c>
      <c r="G203" s="150"/>
      <c r="H203" s="150"/>
      <c r="I203" s="150"/>
      <c r="J203" s="150"/>
      <c r="K203" s="150"/>
      <c r="L203" s="150"/>
    </row>
    <row r="204" spans="1:12">
      <c r="A204" s="150">
        <v>203</v>
      </c>
      <c r="B204" s="150" t="s">
        <v>110</v>
      </c>
      <c r="C204" s="150">
        <v>3</v>
      </c>
      <c r="D204" s="151" t="s">
        <v>246</v>
      </c>
      <c r="E204" s="151" t="s">
        <v>237</v>
      </c>
      <c r="F204" s="150" t="s">
        <v>192</v>
      </c>
      <c r="G204" s="150"/>
      <c r="H204" s="150"/>
      <c r="I204" s="150"/>
      <c r="J204" s="150"/>
      <c r="K204" s="150"/>
      <c r="L204" s="150"/>
    </row>
    <row r="205" spans="1:12">
      <c r="A205" s="150">
        <v>204</v>
      </c>
      <c r="B205" s="150" t="s">
        <v>191</v>
      </c>
      <c r="C205" s="150">
        <v>1</v>
      </c>
      <c r="D205" s="151" t="s">
        <v>246</v>
      </c>
      <c r="E205" s="151" t="s">
        <v>98</v>
      </c>
      <c r="F205" s="150" t="s">
        <v>151</v>
      </c>
      <c r="G205" s="150"/>
      <c r="H205" s="150"/>
      <c r="I205" s="150"/>
      <c r="J205" s="150"/>
      <c r="K205" s="150"/>
      <c r="L205" s="150"/>
    </row>
    <row r="206" spans="1:12">
      <c r="A206" s="150">
        <v>205</v>
      </c>
      <c r="B206" s="150" t="s">
        <v>111</v>
      </c>
      <c r="C206" s="150">
        <v>2</v>
      </c>
      <c r="D206" s="151" t="s">
        <v>246</v>
      </c>
      <c r="E206" s="151" t="s">
        <v>119</v>
      </c>
      <c r="F206" s="150" t="s">
        <v>120</v>
      </c>
      <c r="G206" s="150"/>
      <c r="H206" s="150"/>
      <c r="I206" s="150"/>
      <c r="J206" s="150"/>
      <c r="K206" s="150"/>
      <c r="L206" s="150"/>
    </row>
    <row r="207" spans="1:12">
      <c r="A207" s="150">
        <v>206</v>
      </c>
      <c r="B207" s="150" t="s">
        <v>110</v>
      </c>
      <c r="C207" s="150">
        <v>2</v>
      </c>
      <c r="D207" s="151" t="s">
        <v>246</v>
      </c>
      <c r="E207" s="151" t="s">
        <v>122</v>
      </c>
      <c r="F207" s="150" t="s">
        <v>215</v>
      </c>
      <c r="G207" s="150"/>
      <c r="H207" s="150"/>
      <c r="I207" s="150"/>
      <c r="J207" s="150"/>
      <c r="K207" s="150"/>
      <c r="L207" s="150"/>
    </row>
    <row r="208" spans="1:12">
      <c r="A208" s="150">
        <v>207</v>
      </c>
      <c r="B208" s="150" t="s">
        <v>111</v>
      </c>
      <c r="C208" s="150">
        <v>4</v>
      </c>
      <c r="D208" s="151" t="s">
        <v>246</v>
      </c>
      <c r="E208" s="151" t="s">
        <v>126</v>
      </c>
      <c r="F208" s="150" t="s">
        <v>162</v>
      </c>
      <c r="G208" s="150"/>
      <c r="H208" s="150"/>
      <c r="I208" s="150"/>
      <c r="J208" s="150"/>
      <c r="K208" s="150"/>
      <c r="L208" s="150"/>
    </row>
    <row r="209" spans="1:12">
      <c r="A209" s="150">
        <v>208</v>
      </c>
      <c r="B209" s="150" t="s">
        <v>109</v>
      </c>
      <c r="C209" s="150">
        <v>1</v>
      </c>
      <c r="D209" s="151" t="s">
        <v>246</v>
      </c>
      <c r="E209" s="151" t="s">
        <v>157</v>
      </c>
      <c r="F209" s="150" t="s">
        <v>113</v>
      </c>
      <c r="G209" s="150"/>
      <c r="H209" s="150"/>
      <c r="I209" s="150"/>
      <c r="J209" s="150"/>
      <c r="K209" s="150"/>
      <c r="L209" s="150"/>
    </row>
    <row r="210" spans="1:12">
      <c r="A210" s="150">
        <v>209</v>
      </c>
      <c r="B210" s="150" t="s">
        <v>111</v>
      </c>
      <c r="C210" s="150">
        <v>4</v>
      </c>
      <c r="D210" s="151" t="s">
        <v>246</v>
      </c>
      <c r="E210" s="151" t="s">
        <v>123</v>
      </c>
      <c r="F210" s="150" t="s">
        <v>160</v>
      </c>
      <c r="G210" s="150"/>
      <c r="H210" s="150"/>
      <c r="I210" s="150"/>
      <c r="J210" s="150"/>
      <c r="K210" s="150"/>
      <c r="L210" s="150"/>
    </row>
    <row r="211" spans="1:12">
      <c r="A211" s="150">
        <v>210</v>
      </c>
      <c r="B211" s="150" t="s">
        <v>110</v>
      </c>
      <c r="C211" s="150">
        <v>7</v>
      </c>
      <c r="D211" s="151" t="s">
        <v>246</v>
      </c>
      <c r="E211" s="151" t="s">
        <v>216</v>
      </c>
      <c r="F211" s="150" t="s">
        <v>184</v>
      </c>
      <c r="G211" s="150"/>
      <c r="H211" s="150"/>
      <c r="I211" s="150"/>
      <c r="J211" s="150"/>
      <c r="K211" s="150"/>
      <c r="L211" s="150"/>
    </row>
    <row r="212" spans="1:12">
      <c r="A212" s="150">
        <v>211</v>
      </c>
      <c r="B212" s="150" t="s">
        <v>110</v>
      </c>
      <c r="C212" s="150">
        <v>8</v>
      </c>
      <c r="D212" s="151" t="s">
        <v>246</v>
      </c>
      <c r="E212" s="151" t="s">
        <v>217</v>
      </c>
      <c r="F212" s="150" t="s">
        <v>208</v>
      </c>
      <c r="G212" s="150"/>
      <c r="H212" s="150"/>
      <c r="I212" s="150"/>
      <c r="J212" s="150"/>
      <c r="K212" s="150"/>
      <c r="L212" s="150"/>
    </row>
    <row r="213" spans="1:12">
      <c r="A213" s="150">
        <v>212</v>
      </c>
      <c r="B213" s="150" t="s">
        <v>111</v>
      </c>
      <c r="C213" s="150">
        <v>5</v>
      </c>
      <c r="D213" s="151" t="s">
        <v>246</v>
      </c>
      <c r="E213" s="151" t="s">
        <v>127</v>
      </c>
      <c r="F213" s="150" t="s">
        <v>141</v>
      </c>
      <c r="G213" s="150"/>
      <c r="H213" s="150"/>
      <c r="I213" s="150"/>
      <c r="J213" s="150"/>
      <c r="K213" s="150"/>
      <c r="L213" s="150"/>
    </row>
    <row r="214" spans="1:12">
      <c r="A214" s="150">
        <v>213</v>
      </c>
      <c r="B214" s="150" t="s">
        <v>110</v>
      </c>
      <c r="C214" s="150">
        <v>6</v>
      </c>
      <c r="D214" s="151" t="s">
        <v>246</v>
      </c>
      <c r="E214" s="151" t="s">
        <v>195</v>
      </c>
      <c r="F214" s="150" t="s">
        <v>229</v>
      </c>
      <c r="G214" s="150"/>
      <c r="H214" s="150"/>
      <c r="I214" s="150"/>
      <c r="J214" s="150"/>
      <c r="K214" s="150"/>
      <c r="L214" s="150"/>
    </row>
    <row r="215" spans="1:12">
      <c r="A215" s="150">
        <v>214</v>
      </c>
      <c r="B215" s="150" t="s">
        <v>111</v>
      </c>
      <c r="C215" s="150">
        <v>1</v>
      </c>
      <c r="D215" s="151" t="s">
        <v>246</v>
      </c>
      <c r="E215" s="151" t="s">
        <v>133</v>
      </c>
      <c r="F215" s="150" t="s">
        <v>115</v>
      </c>
      <c r="G215" s="150"/>
      <c r="H215" s="150"/>
      <c r="I215" s="150"/>
      <c r="J215" s="150"/>
      <c r="K215" s="150"/>
      <c r="L215" s="150"/>
    </row>
    <row r="216" spans="1:12">
      <c r="A216" s="150">
        <v>215</v>
      </c>
      <c r="B216" s="150" t="s">
        <v>111</v>
      </c>
      <c r="C216" s="150">
        <v>1</v>
      </c>
      <c r="D216" s="151" t="s">
        <v>246</v>
      </c>
      <c r="E216" s="151" t="s">
        <v>218</v>
      </c>
      <c r="F216" s="150" t="s">
        <v>137</v>
      </c>
      <c r="G216" s="150"/>
      <c r="H216" s="150"/>
      <c r="I216" s="150"/>
      <c r="J216" s="150"/>
      <c r="K216" s="150"/>
      <c r="L216" s="150"/>
    </row>
    <row r="217" spans="1:12">
      <c r="A217" s="150">
        <v>216</v>
      </c>
      <c r="B217" s="150" t="s">
        <v>110</v>
      </c>
      <c r="C217" s="150">
        <v>1</v>
      </c>
      <c r="D217" s="151" t="s">
        <v>246</v>
      </c>
      <c r="E217" s="151" t="s">
        <v>130</v>
      </c>
      <c r="F217" s="150" t="s">
        <v>196</v>
      </c>
      <c r="G217" s="150"/>
      <c r="H217" s="150"/>
      <c r="I217" s="150"/>
      <c r="J217" s="150"/>
      <c r="K217" s="150"/>
      <c r="L217" s="150"/>
    </row>
    <row r="218" spans="1:12">
      <c r="A218" s="150">
        <v>217</v>
      </c>
      <c r="B218" s="150" t="s">
        <v>191</v>
      </c>
      <c r="C218" s="150">
        <v>2</v>
      </c>
      <c r="D218" s="151" t="s">
        <v>246</v>
      </c>
      <c r="E218" s="151" t="s">
        <v>134</v>
      </c>
      <c r="F218" s="150" t="s">
        <v>203</v>
      </c>
      <c r="G218" s="150"/>
      <c r="H218" s="150"/>
      <c r="I218" s="150"/>
      <c r="J218" s="150"/>
      <c r="K218" s="150"/>
      <c r="L218" s="150"/>
    </row>
    <row r="219" spans="1:12">
      <c r="A219" s="150">
        <v>218</v>
      </c>
      <c r="B219" s="150" t="s">
        <v>111</v>
      </c>
      <c r="C219" s="150">
        <v>1</v>
      </c>
      <c r="D219" s="151" t="s">
        <v>246</v>
      </c>
      <c r="E219" s="151" t="s">
        <v>136</v>
      </c>
      <c r="F219" s="150" t="s">
        <v>132</v>
      </c>
      <c r="G219" s="150"/>
      <c r="H219" s="150"/>
      <c r="I219" s="150"/>
      <c r="J219" s="150"/>
      <c r="K219" s="150"/>
      <c r="L219" s="150"/>
    </row>
    <row r="220" spans="1:12">
      <c r="A220" s="150">
        <v>219</v>
      </c>
      <c r="B220" s="150" t="s">
        <v>110</v>
      </c>
      <c r="C220" s="150">
        <v>1</v>
      </c>
      <c r="D220" s="151" t="s">
        <v>246</v>
      </c>
      <c r="E220" s="151" t="s">
        <v>138</v>
      </c>
      <c r="F220" s="150" t="s">
        <v>219</v>
      </c>
      <c r="G220" s="150"/>
      <c r="H220" s="150"/>
      <c r="I220" s="150"/>
      <c r="J220" s="150"/>
      <c r="K220" s="150"/>
      <c r="L220" s="150"/>
    </row>
    <row r="221" spans="1:12">
      <c r="A221" s="150">
        <v>220</v>
      </c>
      <c r="B221" s="150" t="s">
        <v>110</v>
      </c>
      <c r="C221" s="150">
        <v>2</v>
      </c>
      <c r="D221" s="151" t="s">
        <v>246</v>
      </c>
      <c r="E221" s="151" t="s">
        <v>189</v>
      </c>
      <c r="F221" s="150" t="s">
        <v>112</v>
      </c>
      <c r="G221" s="150"/>
      <c r="H221" s="150"/>
      <c r="I221" s="150"/>
      <c r="J221" s="150"/>
      <c r="K221" s="150"/>
      <c r="L221" s="150"/>
    </row>
    <row r="222" spans="1:12">
      <c r="A222" s="150">
        <v>221</v>
      </c>
      <c r="B222" s="150" t="s">
        <v>109</v>
      </c>
      <c r="C222" s="150">
        <v>2</v>
      </c>
      <c r="D222" s="151" t="s">
        <v>246</v>
      </c>
      <c r="E222" s="151" t="s">
        <v>118</v>
      </c>
      <c r="F222" s="150" t="s">
        <v>220</v>
      </c>
      <c r="G222" s="150"/>
      <c r="H222" s="150"/>
      <c r="I222" s="150"/>
      <c r="J222" s="150"/>
      <c r="K222" s="150"/>
      <c r="L222" s="150"/>
    </row>
    <row r="223" spans="1:12">
      <c r="A223" s="150">
        <v>222</v>
      </c>
      <c r="B223" s="150" t="s">
        <v>110</v>
      </c>
      <c r="C223" s="150">
        <v>1</v>
      </c>
      <c r="D223" s="151" t="s">
        <v>246</v>
      </c>
      <c r="E223" s="151" t="s">
        <v>197</v>
      </c>
      <c r="F223" s="150" t="s">
        <v>131</v>
      </c>
      <c r="G223" s="150"/>
      <c r="H223" s="150"/>
      <c r="I223" s="150"/>
      <c r="J223" s="150"/>
      <c r="K223" s="150"/>
      <c r="L223" s="150"/>
    </row>
    <row r="224" spans="1:12">
      <c r="A224" s="150">
        <v>223</v>
      </c>
      <c r="B224" s="150" t="s">
        <v>191</v>
      </c>
      <c r="C224" s="150">
        <v>2</v>
      </c>
      <c r="D224" s="151" t="s">
        <v>246</v>
      </c>
      <c r="E224" s="151" t="s">
        <v>140</v>
      </c>
      <c r="F224" s="150" t="s">
        <v>168</v>
      </c>
      <c r="G224" s="150"/>
      <c r="H224" s="150"/>
      <c r="I224" s="150"/>
      <c r="J224" s="150"/>
      <c r="K224" s="150"/>
      <c r="L224" s="150"/>
    </row>
    <row r="225" spans="1:12">
      <c r="A225" s="150">
        <v>224</v>
      </c>
      <c r="B225" s="150" t="s">
        <v>111</v>
      </c>
      <c r="C225" s="150">
        <v>6</v>
      </c>
      <c r="D225" s="151" t="s">
        <v>246</v>
      </c>
      <c r="E225" s="151" t="s">
        <v>147</v>
      </c>
      <c r="F225" s="150" t="s">
        <v>153</v>
      </c>
      <c r="G225" s="150"/>
      <c r="H225" s="150"/>
      <c r="I225" s="150"/>
      <c r="J225" s="150"/>
      <c r="K225" s="150"/>
      <c r="L225" s="150"/>
    </row>
    <row r="226" spans="1:12">
      <c r="A226" s="150">
        <v>225</v>
      </c>
      <c r="B226" s="150" t="s">
        <v>109</v>
      </c>
      <c r="C226" s="150">
        <v>2</v>
      </c>
      <c r="D226" s="151" t="s">
        <v>246</v>
      </c>
      <c r="E226" s="151" t="s">
        <v>198</v>
      </c>
      <c r="F226" s="150" t="s">
        <v>182</v>
      </c>
      <c r="G226" s="150"/>
      <c r="H226" s="150"/>
      <c r="I226" s="150"/>
      <c r="J226" s="150"/>
      <c r="K226" s="150"/>
      <c r="L226" s="150"/>
    </row>
    <row r="227" spans="1:12">
      <c r="A227" s="150">
        <v>226</v>
      </c>
      <c r="B227" s="150" t="s">
        <v>110</v>
      </c>
      <c r="C227" s="150">
        <v>10</v>
      </c>
      <c r="D227" s="151" t="s">
        <v>246</v>
      </c>
      <c r="E227" s="151" t="s">
        <v>142</v>
      </c>
      <c r="F227" s="150" t="s">
        <v>202</v>
      </c>
      <c r="G227" s="150"/>
      <c r="H227" s="150"/>
      <c r="I227" s="150"/>
      <c r="J227" s="150"/>
      <c r="K227" s="150"/>
      <c r="L227" s="150"/>
    </row>
    <row r="228" spans="1:12">
      <c r="A228" s="150">
        <v>227</v>
      </c>
      <c r="B228" s="150" t="s">
        <v>110</v>
      </c>
      <c r="C228" s="150">
        <v>11</v>
      </c>
      <c r="D228" s="151" t="s">
        <v>246</v>
      </c>
      <c r="E228" s="151" t="s">
        <v>145</v>
      </c>
      <c r="F228" s="150" t="s">
        <v>200</v>
      </c>
      <c r="G228" s="150"/>
      <c r="H228" s="150"/>
      <c r="I228" s="150"/>
      <c r="J228" s="150"/>
      <c r="K228" s="150"/>
      <c r="L228" s="150"/>
    </row>
    <row r="229" spans="1:12">
      <c r="A229" s="150">
        <v>228</v>
      </c>
      <c r="B229" s="150" t="s">
        <v>111</v>
      </c>
      <c r="C229" s="150">
        <v>6</v>
      </c>
      <c r="D229" s="151" t="s">
        <v>246</v>
      </c>
      <c r="E229" s="151" t="s">
        <v>159</v>
      </c>
      <c r="F229" s="150" t="s">
        <v>155</v>
      </c>
      <c r="G229" s="150"/>
      <c r="H229" s="150"/>
      <c r="I229" s="150"/>
      <c r="J229" s="150"/>
      <c r="K229" s="150"/>
      <c r="L229" s="150"/>
    </row>
    <row r="230" spans="1:12">
      <c r="A230" s="150">
        <v>229</v>
      </c>
      <c r="B230" s="150" t="s">
        <v>110</v>
      </c>
      <c r="C230" s="150">
        <v>12</v>
      </c>
      <c r="D230" s="151" t="s">
        <v>246</v>
      </c>
      <c r="E230" s="151" t="s">
        <v>146</v>
      </c>
      <c r="F230" s="150" t="s">
        <v>225</v>
      </c>
      <c r="G230" s="150"/>
      <c r="H230" s="150"/>
      <c r="I230" s="150"/>
      <c r="J230" s="150"/>
      <c r="K230" s="150"/>
      <c r="L230" s="150"/>
    </row>
    <row r="231" spans="1:12">
      <c r="A231" s="150">
        <v>230</v>
      </c>
      <c r="B231" s="150" t="s">
        <v>110</v>
      </c>
      <c r="C231" s="150">
        <v>11</v>
      </c>
      <c r="D231" s="151" t="s">
        <v>246</v>
      </c>
      <c r="E231" s="151" t="s">
        <v>148</v>
      </c>
      <c r="F231" s="150" t="s">
        <v>165</v>
      </c>
      <c r="G231" s="150"/>
      <c r="H231" s="150"/>
      <c r="I231" s="150"/>
      <c r="J231" s="150"/>
      <c r="K231" s="150"/>
      <c r="L231" s="150"/>
    </row>
    <row r="232" spans="1:12">
      <c r="A232" s="150">
        <v>231</v>
      </c>
      <c r="B232" s="150" t="s">
        <v>191</v>
      </c>
      <c r="C232" s="150">
        <v>2</v>
      </c>
      <c r="D232" s="151" t="s">
        <v>246</v>
      </c>
      <c r="E232" s="151" t="s">
        <v>164</v>
      </c>
      <c r="F232" s="150" t="s">
        <v>92</v>
      </c>
      <c r="G232" s="150"/>
      <c r="H232" s="150"/>
      <c r="I232" s="150"/>
      <c r="J232" s="150"/>
      <c r="K232" s="150"/>
      <c r="L232" s="150"/>
    </row>
    <row r="233" spans="1:12">
      <c r="A233" s="150">
        <v>232</v>
      </c>
      <c r="B233" s="150" t="s">
        <v>110</v>
      </c>
      <c r="C233" s="150">
        <v>10</v>
      </c>
      <c r="D233" s="151" t="s">
        <v>246</v>
      </c>
      <c r="E233" s="151" t="s">
        <v>201</v>
      </c>
      <c r="F233" s="150" t="s">
        <v>226</v>
      </c>
      <c r="G233" s="150"/>
      <c r="H233" s="150"/>
      <c r="I233" s="150"/>
      <c r="J233" s="150"/>
      <c r="K233" s="150"/>
      <c r="L233" s="150"/>
    </row>
    <row r="234" spans="1:12">
      <c r="A234" s="150">
        <v>233</v>
      </c>
      <c r="B234" s="150" t="s">
        <v>109</v>
      </c>
      <c r="C234" s="150">
        <v>1</v>
      </c>
      <c r="D234" s="151" t="s">
        <v>246</v>
      </c>
      <c r="E234" s="151" t="s">
        <v>149</v>
      </c>
      <c r="F234" s="150" t="s">
        <v>199</v>
      </c>
      <c r="G234" s="150"/>
      <c r="H234" s="150"/>
      <c r="I234" s="150"/>
      <c r="J234" s="150"/>
      <c r="K234" s="152"/>
      <c r="L234" s="152"/>
    </row>
    <row r="235" spans="1:12">
      <c r="A235" s="150">
        <v>234</v>
      </c>
      <c r="B235" s="150" t="s">
        <v>110</v>
      </c>
      <c r="C235" s="150">
        <v>12</v>
      </c>
      <c r="D235" s="151" t="s">
        <v>246</v>
      </c>
      <c r="E235" s="151" t="s">
        <v>152</v>
      </c>
      <c r="F235" s="150" t="s">
        <v>221</v>
      </c>
      <c r="G235" s="150"/>
      <c r="H235" s="150"/>
      <c r="I235" s="150"/>
      <c r="J235" s="150"/>
      <c r="K235" s="150"/>
      <c r="L235" s="150"/>
    </row>
    <row r="236" spans="1:12">
      <c r="A236" s="150">
        <v>235</v>
      </c>
      <c r="B236" s="150" t="s">
        <v>111</v>
      </c>
      <c r="C236" s="150">
        <v>5</v>
      </c>
      <c r="D236" s="151" t="s">
        <v>246</v>
      </c>
      <c r="E236" s="151" t="s">
        <v>154</v>
      </c>
      <c r="F236" s="150" t="s">
        <v>175</v>
      </c>
      <c r="G236" s="150"/>
      <c r="H236" s="150"/>
      <c r="I236" s="150"/>
      <c r="J236" s="150"/>
      <c r="K236" s="152"/>
      <c r="L236" s="152"/>
    </row>
    <row r="237" spans="1:12">
      <c r="A237" s="150">
        <v>236</v>
      </c>
      <c r="B237" s="150" t="s">
        <v>110</v>
      </c>
      <c r="C237" s="150">
        <v>12</v>
      </c>
      <c r="D237" s="151" t="s">
        <v>246</v>
      </c>
      <c r="E237" s="151" t="s">
        <v>224</v>
      </c>
      <c r="F237" s="150" t="s">
        <v>143</v>
      </c>
      <c r="G237" s="150"/>
      <c r="H237" s="150"/>
      <c r="I237" s="150"/>
      <c r="J237" s="150"/>
      <c r="K237" s="150"/>
      <c r="L237" s="150"/>
    </row>
    <row r="238" spans="1:12">
      <c r="A238" s="150">
        <v>237</v>
      </c>
      <c r="B238" s="150" t="s">
        <v>109</v>
      </c>
      <c r="C238" s="150">
        <v>2</v>
      </c>
      <c r="D238" s="151" t="s">
        <v>246</v>
      </c>
      <c r="E238" s="151" t="s">
        <v>150</v>
      </c>
      <c r="F238" s="150" t="s">
        <v>129</v>
      </c>
      <c r="G238" s="150"/>
      <c r="H238" s="150"/>
      <c r="I238" s="150"/>
      <c r="J238" s="150"/>
      <c r="K238" s="150"/>
      <c r="L238" s="150"/>
    </row>
    <row r="239" spans="1:12">
      <c r="A239" s="150">
        <v>238</v>
      </c>
      <c r="B239" s="150" t="s">
        <v>110</v>
      </c>
      <c r="C239" s="150">
        <v>11</v>
      </c>
      <c r="D239" s="151" t="s">
        <v>246</v>
      </c>
      <c r="E239" s="151" t="s">
        <v>227</v>
      </c>
      <c r="F239" s="150" t="s">
        <v>223</v>
      </c>
      <c r="G239" s="150"/>
      <c r="H239" s="150"/>
      <c r="I239" s="150"/>
      <c r="J239" s="150"/>
      <c r="K239" s="150"/>
      <c r="L239" s="150"/>
    </row>
    <row r="240" spans="1:12">
      <c r="A240" s="150">
        <v>239</v>
      </c>
      <c r="B240" s="150" t="s">
        <v>110</v>
      </c>
      <c r="C240" s="150">
        <v>9</v>
      </c>
      <c r="D240" s="151" t="s">
        <v>246</v>
      </c>
      <c r="E240" s="151" t="s">
        <v>158</v>
      </c>
      <c r="F240" s="150" t="s">
        <v>233</v>
      </c>
      <c r="G240" s="150"/>
      <c r="H240" s="150"/>
      <c r="I240" s="150"/>
      <c r="J240" s="150"/>
      <c r="K240" s="150"/>
      <c r="L240" s="150"/>
    </row>
    <row r="241" spans="1:12">
      <c r="A241" s="150">
        <v>240</v>
      </c>
      <c r="B241" s="150" t="s">
        <v>110</v>
      </c>
      <c r="C241" s="150">
        <v>6</v>
      </c>
      <c r="D241" s="151" t="s">
        <v>246</v>
      </c>
      <c r="E241" s="151" t="s">
        <v>206</v>
      </c>
      <c r="F241" s="150" t="s">
        <v>128</v>
      </c>
    </row>
    <row r="242" spans="1:12">
      <c r="A242" s="150">
        <v>241</v>
      </c>
      <c r="B242" s="150" t="s">
        <v>110</v>
      </c>
      <c r="C242" s="150">
        <v>5</v>
      </c>
      <c r="D242" s="151" t="s">
        <v>246</v>
      </c>
      <c r="E242" s="151" t="s">
        <v>171</v>
      </c>
      <c r="F242" s="150" t="s">
        <v>232</v>
      </c>
    </row>
    <row r="243" spans="1:12">
      <c r="A243" s="150">
        <v>242</v>
      </c>
      <c r="B243" s="150" t="s">
        <v>110</v>
      </c>
      <c r="C243" s="150">
        <v>5</v>
      </c>
      <c r="D243" s="151" t="s">
        <v>246</v>
      </c>
      <c r="E243" s="151" t="s">
        <v>209</v>
      </c>
      <c r="F243" s="150" t="s">
        <v>173</v>
      </c>
    </row>
    <row r="244" spans="1:12">
      <c r="A244" s="150">
        <v>243</v>
      </c>
      <c r="B244" s="150" t="s">
        <v>191</v>
      </c>
      <c r="C244" s="150">
        <v>1</v>
      </c>
      <c r="D244" s="151" t="s">
        <v>246</v>
      </c>
      <c r="E244" s="151" t="s">
        <v>135</v>
      </c>
      <c r="F244" s="150" t="s">
        <v>177</v>
      </c>
    </row>
    <row r="245" spans="1:12">
      <c r="A245" s="150">
        <v>244</v>
      </c>
      <c r="B245" s="150" t="s">
        <v>111</v>
      </c>
      <c r="C245" s="150">
        <v>3</v>
      </c>
      <c r="D245" s="151" t="s">
        <v>246</v>
      </c>
      <c r="E245" s="151" t="s">
        <v>169</v>
      </c>
      <c r="F245" s="150" t="s">
        <v>205</v>
      </c>
    </row>
    <row r="246" spans="1:12">
      <c r="A246" s="150">
        <v>245</v>
      </c>
      <c r="B246" s="150" t="s">
        <v>110</v>
      </c>
      <c r="C246" s="150">
        <v>9</v>
      </c>
      <c r="D246" s="151" t="s">
        <v>246</v>
      </c>
      <c r="E246" s="151" t="s">
        <v>167</v>
      </c>
      <c r="F246" s="150" t="s">
        <v>241</v>
      </c>
    </row>
    <row r="247" spans="1:12">
      <c r="A247" s="150">
        <v>246</v>
      </c>
      <c r="B247" s="150" t="s">
        <v>110</v>
      </c>
      <c r="C247" s="150">
        <v>10</v>
      </c>
      <c r="D247" s="151" t="s">
        <v>246</v>
      </c>
      <c r="E247" s="151" t="s">
        <v>234</v>
      </c>
      <c r="F247" s="150" t="s">
        <v>222</v>
      </c>
    </row>
    <row r="248" spans="1:12">
      <c r="A248" s="150">
        <v>247</v>
      </c>
      <c r="B248" s="150" t="s">
        <v>111</v>
      </c>
      <c r="C248" s="150">
        <v>6</v>
      </c>
      <c r="D248" s="151" t="s">
        <v>246</v>
      </c>
      <c r="E248" s="151" t="s">
        <v>144</v>
      </c>
      <c r="F248" s="150" t="s">
        <v>96</v>
      </c>
    </row>
    <row r="249" spans="1:12">
      <c r="A249" s="150">
        <v>248</v>
      </c>
      <c r="B249" s="150" t="s">
        <v>111</v>
      </c>
      <c r="C249" s="150">
        <v>4</v>
      </c>
      <c r="D249" s="151" t="s">
        <v>246</v>
      </c>
      <c r="E249" s="151" t="s">
        <v>124</v>
      </c>
      <c r="F249" s="150" t="s">
        <v>193</v>
      </c>
    </row>
    <row r="250" spans="1:12">
      <c r="A250" s="150">
        <v>249</v>
      </c>
      <c r="B250" s="150" t="s">
        <v>111</v>
      </c>
      <c r="C250" s="150">
        <v>5</v>
      </c>
      <c r="D250" s="151" t="s">
        <v>246</v>
      </c>
      <c r="E250" s="151" t="s">
        <v>161</v>
      </c>
      <c r="F250" s="150" t="s">
        <v>156</v>
      </c>
    </row>
    <row r="251" spans="1:12">
      <c r="A251" s="150">
        <v>250</v>
      </c>
      <c r="B251" s="150" t="s">
        <v>110</v>
      </c>
      <c r="C251" s="150">
        <v>5</v>
      </c>
      <c r="D251" s="151" t="s">
        <v>246</v>
      </c>
      <c r="E251" s="151" t="s">
        <v>235</v>
      </c>
      <c r="F251" s="150" t="s">
        <v>231</v>
      </c>
    </row>
    <row r="252" spans="1:12">
      <c r="A252" s="150">
        <v>251</v>
      </c>
      <c r="B252" s="150" t="s">
        <v>110</v>
      </c>
      <c r="C252" s="150">
        <v>4</v>
      </c>
      <c r="D252" s="151" t="s">
        <v>246</v>
      </c>
      <c r="E252" s="151" t="s">
        <v>170</v>
      </c>
      <c r="F252" s="150" t="s">
        <v>180</v>
      </c>
    </row>
    <row r="253" spans="1:12">
      <c r="A253" s="150">
        <v>252</v>
      </c>
      <c r="B253" s="150" t="s">
        <v>110</v>
      </c>
      <c r="C253" s="150">
        <v>4</v>
      </c>
      <c r="D253" s="151" t="s">
        <v>246</v>
      </c>
      <c r="E253" s="151" t="s">
        <v>172</v>
      </c>
      <c r="F253" s="150" t="s">
        <v>210</v>
      </c>
    </row>
    <row r="254" spans="1:12">
      <c r="A254" s="150">
        <v>253</v>
      </c>
      <c r="B254" s="150" t="s">
        <v>111</v>
      </c>
      <c r="C254" s="150">
        <v>3</v>
      </c>
      <c r="D254" s="151" t="s">
        <v>246</v>
      </c>
      <c r="E254" s="151" t="s">
        <v>174</v>
      </c>
      <c r="F254" s="150" t="s">
        <v>204</v>
      </c>
    </row>
    <row r="255" spans="1:12">
      <c r="A255" s="150">
        <v>254</v>
      </c>
      <c r="B255" s="150" t="s">
        <v>191</v>
      </c>
      <c r="C255" s="150">
        <v>1</v>
      </c>
      <c r="D255" s="151" t="s">
        <v>246</v>
      </c>
      <c r="E255" s="151" t="s">
        <v>176</v>
      </c>
      <c r="F255" s="150" t="s">
        <v>139</v>
      </c>
      <c r="G255" s="153"/>
      <c r="H255" s="153"/>
      <c r="K255" s="152"/>
      <c r="L255" s="152"/>
    </row>
    <row r="256" spans="1:12">
      <c r="A256" s="150">
        <v>255</v>
      </c>
      <c r="B256" s="150" t="s">
        <v>111</v>
      </c>
      <c r="C256" s="150">
        <v>2</v>
      </c>
      <c r="D256" s="151" t="s">
        <v>246</v>
      </c>
      <c r="E256" s="151" t="s">
        <v>178</v>
      </c>
      <c r="F256" s="150" t="s">
        <v>114</v>
      </c>
    </row>
    <row r="257" spans="1:12">
      <c r="A257" s="150">
        <v>256</v>
      </c>
      <c r="B257" s="150" t="s">
        <v>110</v>
      </c>
      <c r="C257" s="150">
        <v>3</v>
      </c>
      <c r="D257" s="151" t="s">
        <v>246</v>
      </c>
      <c r="E257" s="151" t="s">
        <v>117</v>
      </c>
      <c r="F257" s="150" t="s">
        <v>240</v>
      </c>
      <c r="G257" s="150"/>
      <c r="H257" s="150"/>
      <c r="I257" s="150"/>
      <c r="J257" s="150"/>
      <c r="K257" s="150"/>
      <c r="L257" s="150"/>
    </row>
    <row r="258" spans="1:12">
      <c r="A258" s="150">
        <v>257</v>
      </c>
      <c r="B258" s="150" t="s">
        <v>110</v>
      </c>
      <c r="C258" s="150">
        <v>4</v>
      </c>
      <c r="D258" s="151" t="s">
        <v>246</v>
      </c>
      <c r="E258" s="151" t="s">
        <v>238</v>
      </c>
      <c r="F258" s="150" t="s">
        <v>236</v>
      </c>
      <c r="G258" s="150"/>
      <c r="H258" s="150"/>
      <c r="I258" s="150"/>
      <c r="J258" s="150"/>
      <c r="K258" s="150"/>
      <c r="L258" s="150"/>
    </row>
    <row r="259" spans="1:12">
      <c r="A259" s="150">
        <v>258</v>
      </c>
      <c r="B259" s="150" t="s">
        <v>110</v>
      </c>
      <c r="C259" s="150">
        <v>3</v>
      </c>
      <c r="D259" s="151" t="s">
        <v>246</v>
      </c>
      <c r="E259" s="151" t="s">
        <v>239</v>
      </c>
      <c r="F259" s="150" t="s">
        <v>121</v>
      </c>
      <c r="G259" s="150"/>
      <c r="H259" s="150"/>
      <c r="I259" s="150"/>
      <c r="J259" s="150"/>
      <c r="K259" s="150"/>
      <c r="L259" s="150"/>
    </row>
    <row r="260" spans="1:12">
      <c r="A260" s="150">
        <v>259</v>
      </c>
      <c r="B260" s="150" t="s">
        <v>110</v>
      </c>
      <c r="C260" s="150">
        <v>8</v>
      </c>
      <c r="D260" s="151" t="s">
        <v>246</v>
      </c>
      <c r="E260" s="151" t="s">
        <v>211</v>
      </c>
      <c r="F260" s="150" t="s">
        <v>183</v>
      </c>
      <c r="G260" s="150"/>
      <c r="H260" s="150"/>
      <c r="I260" s="150"/>
      <c r="J260" s="150"/>
      <c r="K260" s="150"/>
      <c r="L260" s="150"/>
    </row>
    <row r="261" spans="1:12">
      <c r="A261" s="150">
        <v>260</v>
      </c>
      <c r="B261" s="150" t="s">
        <v>109</v>
      </c>
      <c r="C261" s="150">
        <v>1</v>
      </c>
      <c r="D261" s="151" t="s">
        <v>246</v>
      </c>
      <c r="E261" s="151" t="s">
        <v>97</v>
      </c>
      <c r="F261" s="150" t="s">
        <v>163</v>
      </c>
      <c r="G261" s="150"/>
      <c r="H261" s="150"/>
      <c r="I261" s="150"/>
      <c r="J261" s="150"/>
      <c r="K261" s="152"/>
      <c r="L261" s="152"/>
    </row>
    <row r="262" spans="1:12">
      <c r="A262" s="150">
        <v>261</v>
      </c>
      <c r="B262" s="150" t="s">
        <v>110</v>
      </c>
      <c r="C262" s="150">
        <v>7</v>
      </c>
      <c r="D262" s="151" t="s">
        <v>246</v>
      </c>
      <c r="E262" s="151" t="s">
        <v>213</v>
      </c>
      <c r="F262" s="150" t="s">
        <v>207</v>
      </c>
      <c r="G262" s="150"/>
      <c r="H262" s="150"/>
      <c r="I262" s="150"/>
      <c r="J262" s="150"/>
      <c r="K262" s="152"/>
      <c r="L262" s="152"/>
    </row>
    <row r="263" spans="1:12">
      <c r="A263" s="150">
        <v>262</v>
      </c>
      <c r="B263" s="150" t="s">
        <v>110</v>
      </c>
      <c r="C263" s="150">
        <v>7</v>
      </c>
      <c r="D263" s="151" t="s">
        <v>246</v>
      </c>
      <c r="E263" s="151" t="s">
        <v>212</v>
      </c>
      <c r="F263" s="150" t="s">
        <v>125</v>
      </c>
      <c r="G263" s="150"/>
      <c r="H263" s="150"/>
      <c r="I263" s="150"/>
      <c r="J263" s="150"/>
      <c r="K263" s="152"/>
      <c r="L263" s="152"/>
    </row>
    <row r="264" spans="1:12">
      <c r="A264" s="150">
        <v>263</v>
      </c>
      <c r="B264" s="150" t="s">
        <v>110</v>
      </c>
      <c r="C264" s="150">
        <v>8</v>
      </c>
      <c r="D264" s="151" t="s">
        <v>246</v>
      </c>
      <c r="E264" s="151" t="s">
        <v>242</v>
      </c>
      <c r="F264" s="150" t="s">
        <v>194</v>
      </c>
      <c r="G264" s="150"/>
      <c r="H264" s="150"/>
      <c r="I264" s="150"/>
      <c r="J264" s="150"/>
      <c r="K264" s="152"/>
      <c r="L264" s="152"/>
    </row>
    <row r="265" spans="1:12">
      <c r="A265" s="150">
        <v>264</v>
      </c>
      <c r="B265" s="150" t="s">
        <v>110</v>
      </c>
      <c r="C265" s="150">
        <v>9</v>
      </c>
      <c r="D265" s="151" t="s">
        <v>246</v>
      </c>
      <c r="E265" s="151" t="s">
        <v>228</v>
      </c>
      <c r="F265" s="150" t="s">
        <v>166</v>
      </c>
      <c r="G265" s="150"/>
      <c r="H265" s="150"/>
      <c r="I265" s="150"/>
      <c r="J265" s="150"/>
      <c r="K265" s="152"/>
      <c r="L265" s="152"/>
    </row>
    <row r="266" spans="1:12">
      <c r="A266" s="150">
        <v>265</v>
      </c>
      <c r="B266" s="150" t="s">
        <v>110</v>
      </c>
      <c r="C266" s="150">
        <v>3</v>
      </c>
      <c r="D266" s="151" t="s">
        <v>247</v>
      </c>
      <c r="E266" s="151" t="s">
        <v>240</v>
      </c>
      <c r="F266" s="150" t="s">
        <v>237</v>
      </c>
      <c r="G266" s="150"/>
      <c r="H266" s="150"/>
      <c r="I266" s="150"/>
      <c r="J266" s="150"/>
      <c r="K266" s="150"/>
      <c r="L266" s="150"/>
    </row>
    <row r="267" spans="1:12">
      <c r="A267" s="150">
        <v>266</v>
      </c>
      <c r="B267" s="150" t="s">
        <v>110</v>
      </c>
      <c r="C267" s="150">
        <v>2</v>
      </c>
      <c r="D267" s="151" t="s">
        <v>247</v>
      </c>
      <c r="E267" s="151" t="s">
        <v>186</v>
      </c>
      <c r="F267" s="150" t="s">
        <v>189</v>
      </c>
      <c r="G267" s="150"/>
      <c r="H267" s="150"/>
      <c r="I267" s="150"/>
      <c r="J267" s="150"/>
      <c r="K267" s="150"/>
      <c r="L267" s="150"/>
    </row>
    <row r="268" spans="1:12">
      <c r="A268" s="150">
        <v>267</v>
      </c>
      <c r="B268" s="150" t="s">
        <v>111</v>
      </c>
      <c r="C268" s="150">
        <v>2</v>
      </c>
      <c r="D268" s="151" t="s">
        <v>247</v>
      </c>
      <c r="E268" s="151" t="s">
        <v>120</v>
      </c>
      <c r="F268" s="150" t="s">
        <v>116</v>
      </c>
      <c r="G268" s="150"/>
      <c r="H268" s="150"/>
      <c r="I268" s="150"/>
      <c r="J268" s="150"/>
      <c r="K268" s="150"/>
      <c r="L268" s="150"/>
    </row>
    <row r="269" spans="1:12">
      <c r="A269" s="150">
        <v>268</v>
      </c>
      <c r="B269" s="150" t="s">
        <v>111</v>
      </c>
      <c r="C269" s="150">
        <v>2</v>
      </c>
      <c r="D269" s="151" t="s">
        <v>247</v>
      </c>
      <c r="E269" s="151" t="s">
        <v>114</v>
      </c>
      <c r="F269" s="150" t="s">
        <v>119</v>
      </c>
      <c r="G269" s="150"/>
      <c r="H269" s="150"/>
      <c r="I269" s="150"/>
      <c r="J269" s="150"/>
      <c r="K269" s="150"/>
      <c r="L269" s="150"/>
    </row>
    <row r="270" spans="1:12">
      <c r="A270" s="150">
        <v>269</v>
      </c>
      <c r="B270" s="150" t="s">
        <v>110</v>
      </c>
      <c r="C270" s="150">
        <v>3</v>
      </c>
      <c r="D270" s="151" t="s">
        <v>247</v>
      </c>
      <c r="E270" s="151" t="s">
        <v>192</v>
      </c>
      <c r="F270" s="150" t="s">
        <v>239</v>
      </c>
      <c r="G270" s="150"/>
      <c r="H270" s="150"/>
      <c r="I270" s="150"/>
      <c r="J270" s="150"/>
      <c r="K270" s="150"/>
      <c r="L270" s="150"/>
    </row>
    <row r="271" spans="1:12">
      <c r="A271" s="150">
        <v>270</v>
      </c>
      <c r="B271" s="150" t="s">
        <v>110</v>
      </c>
      <c r="C271" s="150">
        <v>3</v>
      </c>
      <c r="D271" s="151" t="s">
        <v>247</v>
      </c>
      <c r="E271" s="151" t="s">
        <v>121</v>
      </c>
      <c r="F271" s="150" t="s">
        <v>117</v>
      </c>
      <c r="G271" s="150"/>
      <c r="H271" s="150"/>
      <c r="I271" s="150"/>
      <c r="J271" s="150"/>
      <c r="K271" s="150"/>
      <c r="L271" s="150"/>
    </row>
    <row r="272" spans="1:12">
      <c r="A272" s="150">
        <v>271</v>
      </c>
      <c r="B272" s="150" t="s">
        <v>110</v>
      </c>
      <c r="C272" s="150">
        <v>2</v>
      </c>
      <c r="D272" s="151" t="s">
        <v>247</v>
      </c>
      <c r="E272" s="151" t="s">
        <v>112</v>
      </c>
      <c r="F272" s="150" t="s">
        <v>122</v>
      </c>
      <c r="G272" s="150"/>
      <c r="H272" s="150"/>
      <c r="I272" s="150"/>
      <c r="J272" s="150"/>
      <c r="K272" s="150"/>
      <c r="L272" s="150"/>
    </row>
    <row r="273" spans="1:12">
      <c r="A273" s="150">
        <v>272</v>
      </c>
      <c r="B273" s="150" t="s">
        <v>110</v>
      </c>
      <c r="C273" s="150">
        <v>7</v>
      </c>
      <c r="D273" s="151" t="s">
        <v>247</v>
      </c>
      <c r="E273" s="151" t="s">
        <v>207</v>
      </c>
      <c r="F273" s="150" t="s">
        <v>216</v>
      </c>
    </row>
    <row r="274" spans="1:12">
      <c r="A274" s="150">
        <v>273</v>
      </c>
      <c r="B274" s="150" t="s">
        <v>111</v>
      </c>
      <c r="C274" s="150">
        <v>4</v>
      </c>
      <c r="D274" s="151" t="s">
        <v>247</v>
      </c>
      <c r="E274" s="151" t="s">
        <v>193</v>
      </c>
      <c r="F274" s="150" t="s">
        <v>123</v>
      </c>
    </row>
    <row r="275" spans="1:12">
      <c r="A275" s="150">
        <v>274</v>
      </c>
      <c r="B275" s="150" t="s">
        <v>110</v>
      </c>
      <c r="C275" s="150">
        <v>7</v>
      </c>
      <c r="D275" s="151" t="s">
        <v>247</v>
      </c>
      <c r="E275" s="151" t="s">
        <v>125</v>
      </c>
      <c r="F275" s="150" t="s">
        <v>213</v>
      </c>
    </row>
    <row r="276" spans="1:12">
      <c r="A276" s="150">
        <v>275</v>
      </c>
      <c r="B276" s="150" t="s">
        <v>109</v>
      </c>
      <c r="C276" s="150">
        <v>2</v>
      </c>
      <c r="D276" s="151" t="s">
        <v>247</v>
      </c>
      <c r="E276" s="151" t="s">
        <v>182</v>
      </c>
      <c r="F276" s="150" t="s">
        <v>118</v>
      </c>
    </row>
    <row r="277" spans="1:12">
      <c r="A277" s="150">
        <v>276</v>
      </c>
      <c r="B277" s="150" t="s">
        <v>110</v>
      </c>
      <c r="C277" s="150">
        <v>8</v>
      </c>
      <c r="D277" s="151" t="s">
        <v>247</v>
      </c>
      <c r="E277" s="151" t="s">
        <v>194</v>
      </c>
      <c r="F277" s="150" t="s">
        <v>217</v>
      </c>
      <c r="G277" s="153"/>
      <c r="H277" s="153"/>
      <c r="K277" s="152"/>
      <c r="L277" s="152"/>
    </row>
    <row r="278" spans="1:12">
      <c r="A278" s="150">
        <v>277</v>
      </c>
      <c r="B278" s="150" t="s">
        <v>110</v>
      </c>
      <c r="C278" s="150">
        <v>8</v>
      </c>
      <c r="D278" s="151" t="s">
        <v>247</v>
      </c>
      <c r="E278" s="151" t="s">
        <v>208</v>
      </c>
      <c r="F278" s="150" t="s">
        <v>211</v>
      </c>
    </row>
    <row r="279" spans="1:12">
      <c r="A279" s="150">
        <v>278</v>
      </c>
      <c r="B279" s="150" t="s">
        <v>109</v>
      </c>
      <c r="C279" s="150">
        <v>2</v>
      </c>
      <c r="D279" s="151" t="s">
        <v>247</v>
      </c>
      <c r="E279" s="151" t="s">
        <v>129</v>
      </c>
      <c r="F279" s="150" t="s">
        <v>198</v>
      </c>
    </row>
    <row r="280" spans="1:12">
      <c r="A280" s="150">
        <v>279</v>
      </c>
      <c r="B280" s="150" t="s">
        <v>110</v>
      </c>
      <c r="C280" s="150">
        <v>6</v>
      </c>
      <c r="D280" s="151" t="s">
        <v>247</v>
      </c>
      <c r="E280" s="151" t="s">
        <v>230</v>
      </c>
      <c r="F280" s="150" t="s">
        <v>206</v>
      </c>
    </row>
    <row r="281" spans="1:12">
      <c r="A281" s="150">
        <v>280</v>
      </c>
      <c r="B281" s="150" t="s">
        <v>111</v>
      </c>
      <c r="C281" s="150">
        <v>5</v>
      </c>
      <c r="D281" s="151" t="s">
        <v>247</v>
      </c>
      <c r="E281" s="151" t="s">
        <v>175</v>
      </c>
      <c r="F281" s="150" t="s">
        <v>127</v>
      </c>
      <c r="G281" s="153"/>
      <c r="H281" s="153"/>
      <c r="K281" s="152"/>
      <c r="L281" s="152"/>
    </row>
    <row r="282" spans="1:12">
      <c r="A282" s="150">
        <v>281</v>
      </c>
      <c r="B282" s="150" t="s">
        <v>109</v>
      </c>
      <c r="C282" s="150">
        <v>1</v>
      </c>
      <c r="D282" s="151" t="s">
        <v>247</v>
      </c>
      <c r="E282" s="151" t="s">
        <v>113</v>
      </c>
      <c r="F282" s="150" t="s">
        <v>97</v>
      </c>
    </row>
    <row r="283" spans="1:12">
      <c r="A283" s="150">
        <v>282</v>
      </c>
      <c r="B283" s="150" t="s">
        <v>110</v>
      </c>
      <c r="C283" s="150">
        <v>6</v>
      </c>
      <c r="D283" s="151" t="s">
        <v>247</v>
      </c>
      <c r="E283" s="151" t="s">
        <v>229</v>
      </c>
      <c r="F283" s="150" t="s">
        <v>188</v>
      </c>
    </row>
    <row r="284" spans="1:12">
      <c r="A284" s="150">
        <v>283</v>
      </c>
      <c r="B284" s="150" t="s">
        <v>110</v>
      </c>
      <c r="C284" s="150">
        <v>2</v>
      </c>
      <c r="D284" s="151" t="s">
        <v>247</v>
      </c>
      <c r="E284" s="151" t="s">
        <v>215</v>
      </c>
      <c r="F284" s="150" t="s">
        <v>187</v>
      </c>
    </row>
    <row r="285" spans="1:12">
      <c r="A285" s="150">
        <v>284</v>
      </c>
      <c r="B285" s="150" t="s">
        <v>110</v>
      </c>
      <c r="C285" s="150">
        <v>1</v>
      </c>
      <c r="D285" s="151" t="s">
        <v>247</v>
      </c>
      <c r="E285" s="151" t="s">
        <v>219</v>
      </c>
      <c r="F285" s="150" t="s">
        <v>197</v>
      </c>
    </row>
    <row r="286" spans="1:12">
      <c r="A286" s="150">
        <v>285</v>
      </c>
      <c r="B286" s="150" t="s">
        <v>111</v>
      </c>
      <c r="C286" s="150">
        <v>1</v>
      </c>
      <c r="D286" s="151" t="s">
        <v>247</v>
      </c>
      <c r="E286" s="151" t="s">
        <v>137</v>
      </c>
      <c r="F286" s="150" t="s">
        <v>133</v>
      </c>
      <c r="G286" s="153"/>
      <c r="H286" s="153"/>
      <c r="K286" s="152"/>
      <c r="L286" s="152"/>
    </row>
    <row r="287" spans="1:12">
      <c r="A287" s="150">
        <v>286</v>
      </c>
      <c r="B287" s="150" t="s">
        <v>191</v>
      </c>
      <c r="C287" s="150">
        <v>1</v>
      </c>
      <c r="D287" s="151" t="s">
        <v>247</v>
      </c>
      <c r="E287" s="151" t="s">
        <v>177</v>
      </c>
      <c r="F287" s="150" t="s">
        <v>176</v>
      </c>
    </row>
    <row r="288" spans="1:12">
      <c r="A288" s="150">
        <v>287</v>
      </c>
      <c r="B288" s="150" t="s">
        <v>111</v>
      </c>
      <c r="C288" s="150">
        <v>1</v>
      </c>
      <c r="D288" s="151" t="s">
        <v>247</v>
      </c>
      <c r="E288" s="151" t="s">
        <v>115</v>
      </c>
      <c r="F288" s="150" t="s">
        <v>136</v>
      </c>
    </row>
    <row r="289" spans="1:6">
      <c r="A289" s="150">
        <v>288</v>
      </c>
      <c r="B289" s="150" t="s">
        <v>110</v>
      </c>
      <c r="C289" s="150">
        <v>1</v>
      </c>
      <c r="D289" s="151" t="s">
        <v>247</v>
      </c>
      <c r="E289" s="151" t="s">
        <v>196</v>
      </c>
      <c r="F289" s="150" t="s">
        <v>138</v>
      </c>
    </row>
    <row r="290" spans="1:6">
      <c r="A290" s="150">
        <v>289</v>
      </c>
      <c r="B290" s="150" t="s">
        <v>109</v>
      </c>
      <c r="C290" s="150">
        <v>2</v>
      </c>
      <c r="D290" s="151" t="s">
        <v>247</v>
      </c>
      <c r="E290" s="151" t="s">
        <v>220</v>
      </c>
      <c r="F290" s="150" t="s">
        <v>150</v>
      </c>
    </row>
    <row r="291" spans="1:6">
      <c r="A291" s="150">
        <v>290</v>
      </c>
      <c r="B291" s="150" t="s">
        <v>110</v>
      </c>
      <c r="C291" s="150">
        <v>1</v>
      </c>
      <c r="D291" s="151" t="s">
        <v>247</v>
      </c>
      <c r="E291" s="151" t="s">
        <v>131</v>
      </c>
      <c r="F291" s="150" t="s">
        <v>130</v>
      </c>
    </row>
    <row r="292" spans="1:6">
      <c r="A292" s="150">
        <v>291</v>
      </c>
      <c r="B292" s="150" t="s">
        <v>111</v>
      </c>
      <c r="C292" s="150">
        <v>1</v>
      </c>
      <c r="D292" s="151" t="s">
        <v>247</v>
      </c>
      <c r="E292" s="151" t="s">
        <v>132</v>
      </c>
      <c r="F292" s="150" t="s">
        <v>218</v>
      </c>
    </row>
    <row r="293" spans="1:6">
      <c r="A293" s="150">
        <v>292</v>
      </c>
      <c r="B293" s="150" t="s">
        <v>110</v>
      </c>
      <c r="C293" s="150">
        <v>10</v>
      </c>
      <c r="D293" s="151" t="s">
        <v>247</v>
      </c>
      <c r="E293" s="151" t="s">
        <v>222</v>
      </c>
      <c r="F293" s="150" t="s">
        <v>201</v>
      </c>
    </row>
    <row r="294" spans="1:6">
      <c r="A294" s="150">
        <v>293</v>
      </c>
      <c r="B294" s="150" t="s">
        <v>191</v>
      </c>
      <c r="C294" s="150">
        <v>2</v>
      </c>
      <c r="D294" s="151" t="s">
        <v>247</v>
      </c>
      <c r="E294" s="151" t="s">
        <v>92</v>
      </c>
      <c r="F294" s="150" t="s">
        <v>140</v>
      </c>
    </row>
    <row r="295" spans="1:6">
      <c r="A295" s="150">
        <v>294</v>
      </c>
      <c r="B295" s="150" t="s">
        <v>110</v>
      </c>
      <c r="C295" s="150">
        <v>11</v>
      </c>
      <c r="D295" s="151" t="s">
        <v>247</v>
      </c>
      <c r="E295" s="151" t="s">
        <v>223</v>
      </c>
      <c r="F295" s="150" t="s">
        <v>148</v>
      </c>
    </row>
    <row r="296" spans="1:6">
      <c r="A296" s="150">
        <v>295</v>
      </c>
      <c r="B296" s="150" t="s">
        <v>111</v>
      </c>
      <c r="C296" s="150">
        <v>6</v>
      </c>
      <c r="D296" s="151" t="s">
        <v>247</v>
      </c>
      <c r="E296" s="151" t="s">
        <v>96</v>
      </c>
      <c r="F296" s="150" t="s">
        <v>159</v>
      </c>
    </row>
    <row r="297" spans="1:6">
      <c r="A297" s="150">
        <v>296</v>
      </c>
      <c r="B297" s="150" t="s">
        <v>191</v>
      </c>
      <c r="C297" s="150">
        <v>1</v>
      </c>
      <c r="D297" s="151" t="s">
        <v>247</v>
      </c>
      <c r="E297" s="151" t="s">
        <v>139</v>
      </c>
      <c r="F297" s="150" t="s">
        <v>98</v>
      </c>
    </row>
    <row r="298" spans="1:6">
      <c r="A298" s="150">
        <v>297</v>
      </c>
      <c r="B298" s="150" t="s">
        <v>111</v>
      </c>
      <c r="C298" s="150">
        <v>5</v>
      </c>
      <c r="D298" s="151" t="s">
        <v>247</v>
      </c>
      <c r="E298" s="151" t="s">
        <v>141</v>
      </c>
      <c r="F298" s="150" t="s">
        <v>161</v>
      </c>
    </row>
    <row r="299" spans="1:6">
      <c r="A299" s="150">
        <v>298</v>
      </c>
      <c r="B299" s="150" t="s">
        <v>110</v>
      </c>
      <c r="C299" s="150">
        <v>12</v>
      </c>
      <c r="D299" s="151" t="s">
        <v>247</v>
      </c>
      <c r="E299" s="151" t="s">
        <v>143</v>
      </c>
      <c r="F299" s="150" t="s">
        <v>146</v>
      </c>
    </row>
    <row r="300" spans="1:6">
      <c r="A300" s="150">
        <v>299</v>
      </c>
      <c r="B300" s="150" t="s">
        <v>109</v>
      </c>
      <c r="C300" s="150">
        <v>1</v>
      </c>
      <c r="D300" s="151" t="s">
        <v>247</v>
      </c>
      <c r="E300" s="151" t="s">
        <v>199</v>
      </c>
      <c r="F300" s="150" t="s">
        <v>157</v>
      </c>
    </row>
    <row r="301" spans="1:6">
      <c r="A301" s="150">
        <v>300</v>
      </c>
      <c r="B301" s="150" t="s">
        <v>110</v>
      </c>
      <c r="C301" s="150">
        <v>11</v>
      </c>
      <c r="D301" s="151" t="s">
        <v>247</v>
      </c>
      <c r="E301" s="151" t="s">
        <v>200</v>
      </c>
      <c r="F301" s="150" t="s">
        <v>227</v>
      </c>
    </row>
    <row r="302" spans="1:6">
      <c r="A302" s="150">
        <v>301</v>
      </c>
      <c r="B302" s="150" t="s">
        <v>111</v>
      </c>
      <c r="C302" s="150">
        <v>6</v>
      </c>
      <c r="D302" s="151" t="s">
        <v>247</v>
      </c>
      <c r="E302" s="151" t="s">
        <v>155</v>
      </c>
      <c r="F302" s="150" t="s">
        <v>147</v>
      </c>
    </row>
    <row r="303" spans="1:6">
      <c r="A303" s="150">
        <v>302</v>
      </c>
      <c r="B303" s="150" t="s">
        <v>191</v>
      </c>
      <c r="C303" s="150">
        <v>1</v>
      </c>
      <c r="D303" s="151" t="s">
        <v>247</v>
      </c>
      <c r="E303" s="151" t="s">
        <v>151</v>
      </c>
      <c r="F303" s="150" t="s">
        <v>135</v>
      </c>
    </row>
    <row r="304" spans="1:6">
      <c r="A304" s="150">
        <v>303</v>
      </c>
      <c r="B304" s="150" t="s">
        <v>111</v>
      </c>
      <c r="C304" s="150">
        <v>6</v>
      </c>
      <c r="D304" s="151" t="s">
        <v>247</v>
      </c>
      <c r="E304" s="151" t="s">
        <v>153</v>
      </c>
      <c r="F304" s="150" t="s">
        <v>144</v>
      </c>
    </row>
    <row r="305" spans="1:12">
      <c r="A305" s="150">
        <v>304</v>
      </c>
      <c r="B305" s="150" t="s">
        <v>110</v>
      </c>
      <c r="C305" s="150">
        <v>9</v>
      </c>
      <c r="D305" s="151" t="s">
        <v>247</v>
      </c>
      <c r="E305" s="151" t="s">
        <v>233</v>
      </c>
      <c r="F305" s="150" t="s">
        <v>228</v>
      </c>
    </row>
    <row r="306" spans="1:12">
      <c r="A306" s="150">
        <v>305</v>
      </c>
      <c r="B306" s="150" t="s">
        <v>110</v>
      </c>
      <c r="C306" s="150">
        <v>12</v>
      </c>
      <c r="D306" s="151" t="s">
        <v>247</v>
      </c>
      <c r="E306" s="151" t="s">
        <v>221</v>
      </c>
      <c r="F306" s="150" t="s">
        <v>224</v>
      </c>
    </row>
    <row r="307" spans="1:12">
      <c r="A307" s="150">
        <v>306</v>
      </c>
      <c r="B307" s="150" t="s">
        <v>110</v>
      </c>
      <c r="C307" s="150">
        <v>10</v>
      </c>
      <c r="D307" s="151" t="s">
        <v>247</v>
      </c>
      <c r="E307" s="151" t="s">
        <v>202</v>
      </c>
      <c r="F307" s="150" t="s">
        <v>234</v>
      </c>
    </row>
    <row r="308" spans="1:12">
      <c r="A308" s="150">
        <v>307</v>
      </c>
      <c r="B308" s="150" t="s">
        <v>111</v>
      </c>
      <c r="C308" s="150">
        <v>5</v>
      </c>
      <c r="D308" s="151" t="s">
        <v>247</v>
      </c>
      <c r="E308" s="151" t="s">
        <v>156</v>
      </c>
      <c r="F308" s="150" t="s">
        <v>154</v>
      </c>
      <c r="G308" s="153"/>
      <c r="H308" s="153"/>
      <c r="K308" s="152"/>
      <c r="L308" s="152"/>
    </row>
    <row r="309" spans="1:12">
      <c r="A309" s="150">
        <v>308</v>
      </c>
      <c r="B309" s="150" t="s">
        <v>111</v>
      </c>
      <c r="C309" s="150">
        <v>3</v>
      </c>
      <c r="D309" s="151" t="s">
        <v>247</v>
      </c>
      <c r="E309" s="151" t="s">
        <v>205</v>
      </c>
      <c r="F309" s="150" t="s">
        <v>174</v>
      </c>
    </row>
    <row r="310" spans="1:12">
      <c r="A310" s="150">
        <v>309</v>
      </c>
      <c r="B310" s="150" t="s">
        <v>191</v>
      </c>
      <c r="C310" s="150">
        <v>2</v>
      </c>
      <c r="D310" s="151" t="s">
        <v>247</v>
      </c>
      <c r="E310" s="151" t="s">
        <v>203</v>
      </c>
      <c r="F310" s="150" t="s">
        <v>164</v>
      </c>
      <c r="G310" s="153"/>
      <c r="H310" s="153"/>
      <c r="K310" s="152"/>
      <c r="L310" s="152"/>
    </row>
    <row r="311" spans="1:12">
      <c r="A311" s="150">
        <v>310</v>
      </c>
      <c r="B311" s="150" t="s">
        <v>111</v>
      </c>
      <c r="C311" s="150">
        <v>3</v>
      </c>
      <c r="D311" s="151" t="s">
        <v>247</v>
      </c>
      <c r="E311" s="151" t="s">
        <v>204</v>
      </c>
      <c r="F311" s="150" t="s">
        <v>190</v>
      </c>
    </row>
    <row r="312" spans="1:12">
      <c r="A312" s="150">
        <v>311</v>
      </c>
      <c r="B312" s="150" t="s">
        <v>110</v>
      </c>
      <c r="C312" s="150">
        <v>5</v>
      </c>
      <c r="D312" s="151" t="s">
        <v>247</v>
      </c>
      <c r="E312" s="151" t="s">
        <v>231</v>
      </c>
      <c r="F312" s="150" t="s">
        <v>209</v>
      </c>
    </row>
    <row r="313" spans="1:12">
      <c r="A313" s="150">
        <v>312</v>
      </c>
      <c r="B313" s="150" t="s">
        <v>110</v>
      </c>
      <c r="C313" s="150">
        <v>6</v>
      </c>
      <c r="D313" s="151" t="s">
        <v>247</v>
      </c>
      <c r="E313" s="151" t="s">
        <v>128</v>
      </c>
      <c r="F313" s="150" t="s">
        <v>195</v>
      </c>
    </row>
    <row r="314" spans="1:12">
      <c r="A314" s="150">
        <v>313</v>
      </c>
      <c r="B314" s="150" t="s">
        <v>110</v>
      </c>
      <c r="C314" s="150">
        <v>5</v>
      </c>
      <c r="D314" s="151" t="s">
        <v>247</v>
      </c>
      <c r="E314" s="151" t="s">
        <v>232</v>
      </c>
      <c r="F314" s="150" t="s">
        <v>235</v>
      </c>
    </row>
    <row r="315" spans="1:12">
      <c r="A315" s="150">
        <v>314</v>
      </c>
      <c r="B315" s="150" t="s">
        <v>111</v>
      </c>
      <c r="C315" s="150">
        <v>4</v>
      </c>
      <c r="D315" s="151" t="s">
        <v>247</v>
      </c>
      <c r="E315" s="151" t="s">
        <v>160</v>
      </c>
      <c r="F315" s="150" t="s">
        <v>126</v>
      </c>
    </row>
    <row r="316" spans="1:12">
      <c r="A316" s="150">
        <v>315</v>
      </c>
      <c r="B316" s="150" t="s">
        <v>110</v>
      </c>
      <c r="C316" s="150">
        <v>9</v>
      </c>
      <c r="D316" s="151" t="s">
        <v>247</v>
      </c>
      <c r="E316" s="151" t="s">
        <v>166</v>
      </c>
      <c r="F316" s="150" t="s">
        <v>167</v>
      </c>
    </row>
    <row r="317" spans="1:12">
      <c r="A317" s="150">
        <v>316</v>
      </c>
      <c r="B317" s="150" t="s">
        <v>110</v>
      </c>
      <c r="C317" s="150">
        <v>10</v>
      </c>
      <c r="D317" s="151" t="s">
        <v>247</v>
      </c>
      <c r="E317" s="151" t="s">
        <v>226</v>
      </c>
      <c r="F317" s="150" t="s">
        <v>142</v>
      </c>
    </row>
    <row r="318" spans="1:12">
      <c r="A318" s="150">
        <v>317</v>
      </c>
      <c r="B318" s="150" t="s">
        <v>110</v>
      </c>
      <c r="C318" s="150">
        <v>12</v>
      </c>
      <c r="D318" s="151" t="s">
        <v>247</v>
      </c>
      <c r="E318" s="151" t="s">
        <v>225</v>
      </c>
      <c r="F318" s="150" t="s">
        <v>152</v>
      </c>
    </row>
    <row r="319" spans="1:12">
      <c r="A319" s="150">
        <v>318</v>
      </c>
      <c r="B319" s="150" t="s">
        <v>111</v>
      </c>
      <c r="C319" s="150">
        <v>4</v>
      </c>
      <c r="D319" s="151" t="s">
        <v>247</v>
      </c>
      <c r="E319" s="151" t="s">
        <v>162</v>
      </c>
      <c r="F319" s="150" t="s">
        <v>124</v>
      </c>
    </row>
    <row r="320" spans="1:12">
      <c r="A320" s="150">
        <v>319</v>
      </c>
      <c r="B320" s="150" t="s">
        <v>109</v>
      </c>
      <c r="C320" s="150">
        <v>1</v>
      </c>
      <c r="D320" s="151" t="s">
        <v>247</v>
      </c>
      <c r="E320" s="151" t="s">
        <v>163</v>
      </c>
      <c r="F320" s="150" t="s">
        <v>149</v>
      </c>
    </row>
    <row r="321" spans="1:12">
      <c r="A321" s="150">
        <v>320</v>
      </c>
      <c r="B321" s="150" t="s">
        <v>110</v>
      </c>
      <c r="C321" s="150">
        <v>11</v>
      </c>
      <c r="D321" s="151" t="s">
        <v>247</v>
      </c>
      <c r="E321" s="151" t="s">
        <v>165</v>
      </c>
      <c r="F321" s="150" t="s">
        <v>145</v>
      </c>
    </row>
    <row r="322" spans="1:12">
      <c r="A322" s="150">
        <v>321</v>
      </c>
      <c r="B322" s="150" t="s">
        <v>110</v>
      </c>
      <c r="C322" s="150">
        <v>5</v>
      </c>
      <c r="D322" s="151" t="s">
        <v>247</v>
      </c>
      <c r="E322" s="151" t="s">
        <v>173</v>
      </c>
      <c r="F322" s="150" t="s">
        <v>171</v>
      </c>
    </row>
    <row r="323" spans="1:12">
      <c r="A323" s="150">
        <v>322</v>
      </c>
      <c r="B323" s="150" t="s">
        <v>110</v>
      </c>
      <c r="C323" s="150">
        <v>4</v>
      </c>
      <c r="D323" s="151" t="s">
        <v>247</v>
      </c>
      <c r="E323" s="151" t="s">
        <v>236</v>
      </c>
      <c r="F323" s="150" t="s">
        <v>172</v>
      </c>
    </row>
    <row r="324" spans="1:12">
      <c r="A324" s="150">
        <v>323</v>
      </c>
      <c r="B324" s="150" t="s">
        <v>191</v>
      </c>
      <c r="C324" s="150">
        <v>2</v>
      </c>
      <c r="D324" s="151" t="s">
        <v>247</v>
      </c>
      <c r="E324" s="151" t="s">
        <v>168</v>
      </c>
      <c r="F324" s="150" t="s">
        <v>134</v>
      </c>
    </row>
    <row r="325" spans="1:12">
      <c r="A325" s="150">
        <v>324</v>
      </c>
      <c r="B325" s="150" t="s">
        <v>110</v>
      </c>
      <c r="C325" s="150">
        <v>4</v>
      </c>
      <c r="D325" s="151" t="s">
        <v>247</v>
      </c>
      <c r="E325" s="151" t="s">
        <v>180</v>
      </c>
      <c r="F325" s="150" t="s">
        <v>238</v>
      </c>
    </row>
    <row r="326" spans="1:12">
      <c r="A326" s="150">
        <v>325</v>
      </c>
      <c r="B326" s="150" t="s">
        <v>111</v>
      </c>
      <c r="C326" s="150">
        <v>2</v>
      </c>
      <c r="D326" s="151" t="s">
        <v>247</v>
      </c>
      <c r="E326" s="151" t="s">
        <v>179</v>
      </c>
      <c r="F326" s="150" t="s">
        <v>178</v>
      </c>
    </row>
    <row r="327" spans="1:12">
      <c r="A327" s="150">
        <v>326</v>
      </c>
      <c r="B327" s="150" t="s">
        <v>110</v>
      </c>
      <c r="C327" s="150">
        <v>4</v>
      </c>
      <c r="D327" s="151" t="s">
        <v>247</v>
      </c>
      <c r="E327" s="151" t="s">
        <v>210</v>
      </c>
      <c r="F327" s="150" t="s">
        <v>170</v>
      </c>
    </row>
    <row r="328" spans="1:12">
      <c r="A328" s="150">
        <v>327</v>
      </c>
      <c r="B328" s="150" t="s">
        <v>111</v>
      </c>
      <c r="C328" s="150">
        <v>3</v>
      </c>
      <c r="D328" s="151" t="s">
        <v>247</v>
      </c>
      <c r="E328" s="151" t="s">
        <v>181</v>
      </c>
      <c r="F328" s="150" t="s">
        <v>169</v>
      </c>
      <c r="G328" s="153"/>
      <c r="H328" s="153"/>
      <c r="K328" s="152"/>
      <c r="L328" s="152"/>
    </row>
    <row r="329" spans="1:12">
      <c r="A329" s="150">
        <v>328</v>
      </c>
      <c r="B329" s="150" t="s">
        <v>110</v>
      </c>
      <c r="C329" s="150">
        <v>9</v>
      </c>
      <c r="D329" s="151" t="s">
        <v>247</v>
      </c>
      <c r="E329" s="151" t="s">
        <v>241</v>
      </c>
      <c r="F329" s="150" t="s">
        <v>158</v>
      </c>
      <c r="G329" s="153"/>
      <c r="H329" s="153"/>
      <c r="K329" s="152"/>
      <c r="L329" s="152"/>
    </row>
    <row r="330" spans="1:12">
      <c r="A330" s="150">
        <v>329</v>
      </c>
      <c r="B330" s="150" t="s">
        <v>110</v>
      </c>
      <c r="C330" s="150">
        <v>8</v>
      </c>
      <c r="D330" s="151" t="s">
        <v>247</v>
      </c>
      <c r="E330" s="151" t="s">
        <v>183</v>
      </c>
      <c r="F330" s="150" t="s">
        <v>242</v>
      </c>
      <c r="G330" s="153"/>
      <c r="H330" s="153"/>
      <c r="K330" s="152"/>
      <c r="L330" s="152"/>
    </row>
    <row r="331" spans="1:12">
      <c r="A331" s="150">
        <v>330</v>
      </c>
      <c r="B331" s="150" t="s">
        <v>110</v>
      </c>
      <c r="C331" s="150">
        <v>7</v>
      </c>
      <c r="D331" s="151" t="s">
        <v>247</v>
      </c>
      <c r="E331" s="151" t="s">
        <v>184</v>
      </c>
      <c r="F331" s="150" t="s">
        <v>212</v>
      </c>
      <c r="G331" s="153"/>
      <c r="H331" s="153"/>
      <c r="K331" s="152"/>
      <c r="L331" s="152"/>
    </row>
    <row r="332" spans="1:12">
      <c r="A332" s="150">
        <v>331</v>
      </c>
      <c r="B332" s="150" t="s">
        <v>110</v>
      </c>
      <c r="C332" s="150">
        <v>3</v>
      </c>
      <c r="D332" s="151" t="s">
        <v>248</v>
      </c>
      <c r="E332" s="151" t="s">
        <v>240</v>
      </c>
      <c r="F332" s="150" t="s">
        <v>239</v>
      </c>
    </row>
    <row r="333" spans="1:12">
      <c r="A333" s="150">
        <v>332</v>
      </c>
      <c r="B333" s="150" t="s">
        <v>110</v>
      </c>
      <c r="C333" s="150">
        <v>6</v>
      </c>
      <c r="D333" s="151" t="s">
        <v>248</v>
      </c>
      <c r="E333" s="151" t="s">
        <v>188</v>
      </c>
      <c r="F333" s="150" t="s">
        <v>195</v>
      </c>
    </row>
    <row r="334" spans="1:12">
      <c r="A334" s="150">
        <v>333</v>
      </c>
      <c r="B334" s="150" t="s">
        <v>111</v>
      </c>
      <c r="C334" s="150">
        <v>2</v>
      </c>
      <c r="D334" s="151" t="s">
        <v>248</v>
      </c>
      <c r="E334" s="151" t="s">
        <v>120</v>
      </c>
      <c r="F334" s="150" t="s">
        <v>178</v>
      </c>
    </row>
    <row r="335" spans="1:12">
      <c r="A335" s="150">
        <v>334</v>
      </c>
      <c r="B335" s="150" t="s">
        <v>111</v>
      </c>
      <c r="C335" s="150">
        <v>2</v>
      </c>
      <c r="D335" s="151" t="s">
        <v>248</v>
      </c>
      <c r="E335" s="151" t="s">
        <v>116</v>
      </c>
      <c r="F335" s="150" t="s">
        <v>119</v>
      </c>
    </row>
    <row r="336" spans="1:12">
      <c r="A336" s="150">
        <v>335</v>
      </c>
      <c r="B336" s="150" t="s">
        <v>110</v>
      </c>
      <c r="C336" s="150">
        <v>3</v>
      </c>
      <c r="D336" s="151" t="s">
        <v>248</v>
      </c>
      <c r="E336" s="151" t="s">
        <v>237</v>
      </c>
      <c r="F336" s="150" t="s">
        <v>117</v>
      </c>
    </row>
    <row r="337" spans="1:12">
      <c r="A337" s="150">
        <v>336</v>
      </c>
      <c r="B337" s="150" t="s">
        <v>110</v>
      </c>
      <c r="C337" s="150">
        <v>3</v>
      </c>
      <c r="D337" s="151" t="s">
        <v>248</v>
      </c>
      <c r="E337" s="151" t="s">
        <v>192</v>
      </c>
      <c r="F337" s="150" t="s">
        <v>121</v>
      </c>
    </row>
    <row r="338" spans="1:12">
      <c r="A338" s="150">
        <v>337</v>
      </c>
      <c r="B338" s="150" t="s">
        <v>110</v>
      </c>
      <c r="C338" s="150">
        <v>2</v>
      </c>
      <c r="D338" s="151" t="s">
        <v>248</v>
      </c>
      <c r="E338" s="151" t="s">
        <v>122</v>
      </c>
      <c r="F338" s="150" t="s">
        <v>189</v>
      </c>
    </row>
    <row r="339" spans="1:12">
      <c r="A339" s="150">
        <v>338</v>
      </c>
      <c r="B339" s="150" t="s">
        <v>110</v>
      </c>
      <c r="C339" s="150">
        <v>2</v>
      </c>
      <c r="D339" s="151" t="s">
        <v>248</v>
      </c>
      <c r="E339" s="151" t="s">
        <v>112</v>
      </c>
      <c r="F339" s="150" t="s">
        <v>187</v>
      </c>
    </row>
    <row r="340" spans="1:12">
      <c r="A340" s="150">
        <v>339</v>
      </c>
      <c r="B340" s="150" t="s">
        <v>111</v>
      </c>
      <c r="C340" s="150">
        <v>4</v>
      </c>
      <c r="D340" s="151" t="s">
        <v>248</v>
      </c>
      <c r="E340" s="151" t="s">
        <v>126</v>
      </c>
      <c r="F340" s="150" t="s">
        <v>123</v>
      </c>
    </row>
    <row r="341" spans="1:12">
      <c r="A341" s="150">
        <v>340</v>
      </c>
      <c r="B341" s="150" t="s">
        <v>110</v>
      </c>
      <c r="C341" s="150">
        <v>7</v>
      </c>
      <c r="D341" s="151" t="s">
        <v>248</v>
      </c>
      <c r="E341" s="151" t="s">
        <v>207</v>
      </c>
      <c r="F341" s="150" t="s">
        <v>184</v>
      </c>
    </row>
    <row r="342" spans="1:12">
      <c r="A342" s="150">
        <v>341</v>
      </c>
      <c r="B342" s="150" t="s">
        <v>110</v>
      </c>
      <c r="C342" s="150">
        <v>7</v>
      </c>
      <c r="D342" s="151" t="s">
        <v>248</v>
      </c>
      <c r="E342" s="151" t="s">
        <v>216</v>
      </c>
      <c r="F342" s="151" t="s">
        <v>125</v>
      </c>
    </row>
    <row r="343" spans="1:12">
      <c r="A343" s="150">
        <v>342</v>
      </c>
      <c r="B343" s="150" t="s">
        <v>110</v>
      </c>
      <c r="C343" s="150">
        <v>8</v>
      </c>
      <c r="D343" s="151" t="s">
        <v>248</v>
      </c>
      <c r="E343" s="151" t="s">
        <v>208</v>
      </c>
      <c r="F343" s="150" t="s">
        <v>242</v>
      </c>
    </row>
    <row r="344" spans="1:12">
      <c r="A344" s="150">
        <v>343</v>
      </c>
      <c r="B344" s="150" t="s">
        <v>109</v>
      </c>
      <c r="C344" s="150">
        <v>2</v>
      </c>
      <c r="D344" s="151" t="s">
        <v>248</v>
      </c>
      <c r="E344" s="151" t="s">
        <v>129</v>
      </c>
      <c r="F344" s="150" t="s">
        <v>182</v>
      </c>
    </row>
    <row r="345" spans="1:12">
      <c r="A345" s="150">
        <v>344</v>
      </c>
      <c r="B345" s="150" t="s">
        <v>110</v>
      </c>
      <c r="C345" s="150">
        <v>6</v>
      </c>
      <c r="D345" s="151" t="s">
        <v>248</v>
      </c>
      <c r="E345" s="151" t="s">
        <v>230</v>
      </c>
      <c r="F345" s="150" t="s">
        <v>128</v>
      </c>
    </row>
    <row r="346" spans="1:12">
      <c r="A346" s="150">
        <v>345</v>
      </c>
      <c r="B346" s="150" t="s">
        <v>111</v>
      </c>
      <c r="C346" s="150">
        <v>5</v>
      </c>
      <c r="D346" s="151" t="s">
        <v>248</v>
      </c>
      <c r="E346" s="151" t="s">
        <v>175</v>
      </c>
      <c r="F346" s="150" t="s">
        <v>141</v>
      </c>
    </row>
    <row r="347" spans="1:12">
      <c r="A347" s="150">
        <v>346</v>
      </c>
      <c r="B347" s="150" t="s">
        <v>109</v>
      </c>
      <c r="C347" s="150">
        <v>1</v>
      </c>
      <c r="D347" s="151" t="s">
        <v>248</v>
      </c>
      <c r="E347" s="151" t="s">
        <v>113</v>
      </c>
      <c r="F347" s="150" t="s">
        <v>149</v>
      </c>
      <c r="G347" s="153"/>
      <c r="H347" s="153"/>
      <c r="K347" s="152"/>
      <c r="L347" s="152"/>
    </row>
    <row r="348" spans="1:12">
      <c r="A348" s="150">
        <v>347</v>
      </c>
      <c r="B348" s="150" t="s">
        <v>110</v>
      </c>
      <c r="C348" s="150">
        <v>6</v>
      </c>
      <c r="D348" s="151" t="s">
        <v>248</v>
      </c>
      <c r="E348" s="151" t="s">
        <v>229</v>
      </c>
      <c r="F348" s="150" t="s">
        <v>206</v>
      </c>
    </row>
    <row r="349" spans="1:12">
      <c r="A349" s="150">
        <v>348</v>
      </c>
      <c r="B349" s="150" t="s">
        <v>110</v>
      </c>
      <c r="C349" s="150">
        <v>2</v>
      </c>
      <c r="D349" s="151" t="s">
        <v>248</v>
      </c>
      <c r="E349" s="151" t="s">
        <v>215</v>
      </c>
      <c r="F349" s="150" t="s">
        <v>186</v>
      </c>
    </row>
    <row r="350" spans="1:12">
      <c r="A350" s="150">
        <v>349</v>
      </c>
      <c r="B350" s="150" t="s">
        <v>111</v>
      </c>
      <c r="C350" s="150">
        <v>1</v>
      </c>
      <c r="D350" s="151" t="s">
        <v>248</v>
      </c>
      <c r="E350" s="151" t="s">
        <v>133</v>
      </c>
      <c r="F350" s="150" t="s">
        <v>218</v>
      </c>
    </row>
    <row r="351" spans="1:12">
      <c r="A351" s="150">
        <v>350</v>
      </c>
      <c r="B351" s="150" t="s">
        <v>111</v>
      </c>
      <c r="C351" s="150">
        <v>1</v>
      </c>
      <c r="D351" s="151" t="s">
        <v>248</v>
      </c>
      <c r="E351" s="151" t="s">
        <v>137</v>
      </c>
      <c r="F351" s="150" t="s">
        <v>136</v>
      </c>
    </row>
    <row r="352" spans="1:12">
      <c r="A352" s="150">
        <v>351</v>
      </c>
      <c r="B352" s="150" t="s">
        <v>110</v>
      </c>
      <c r="C352" s="150">
        <v>1</v>
      </c>
      <c r="D352" s="151" t="s">
        <v>248</v>
      </c>
      <c r="E352" s="151" t="s">
        <v>130</v>
      </c>
      <c r="F352" s="150" t="s">
        <v>197</v>
      </c>
      <c r="G352" s="153"/>
      <c r="H352" s="153"/>
      <c r="K352" s="152"/>
      <c r="L352" s="152"/>
    </row>
    <row r="353" spans="1:6">
      <c r="A353" s="150">
        <v>352</v>
      </c>
      <c r="B353" s="150" t="s">
        <v>191</v>
      </c>
      <c r="C353" s="150">
        <v>1</v>
      </c>
      <c r="D353" s="151" t="s">
        <v>248</v>
      </c>
      <c r="E353" s="151" t="s">
        <v>177</v>
      </c>
      <c r="F353" s="150" t="s">
        <v>139</v>
      </c>
    </row>
    <row r="354" spans="1:6">
      <c r="A354" s="150">
        <v>353</v>
      </c>
      <c r="B354" s="150" t="s">
        <v>111</v>
      </c>
      <c r="C354" s="150">
        <v>1</v>
      </c>
      <c r="D354" s="151" t="s">
        <v>248</v>
      </c>
      <c r="E354" s="151" t="s">
        <v>115</v>
      </c>
      <c r="F354" s="150" t="s">
        <v>132</v>
      </c>
    </row>
    <row r="355" spans="1:6">
      <c r="A355" s="150">
        <v>354</v>
      </c>
      <c r="B355" s="150" t="s">
        <v>110</v>
      </c>
      <c r="C355" s="150">
        <v>1</v>
      </c>
      <c r="D355" s="151" t="s">
        <v>248</v>
      </c>
      <c r="E355" s="151" t="s">
        <v>196</v>
      </c>
      <c r="F355" s="150" t="s">
        <v>219</v>
      </c>
    </row>
    <row r="356" spans="1:6">
      <c r="A356" s="150">
        <v>355</v>
      </c>
      <c r="B356" s="150" t="s">
        <v>109</v>
      </c>
      <c r="C356" s="150">
        <v>2</v>
      </c>
      <c r="D356" s="151" t="s">
        <v>248</v>
      </c>
      <c r="E356" s="151" t="s">
        <v>220</v>
      </c>
      <c r="F356" s="150" t="s">
        <v>198</v>
      </c>
    </row>
    <row r="357" spans="1:6">
      <c r="A357" s="150">
        <v>356</v>
      </c>
      <c r="B357" s="150" t="s">
        <v>110</v>
      </c>
      <c r="C357" s="150">
        <v>1</v>
      </c>
      <c r="D357" s="151" t="s">
        <v>248</v>
      </c>
      <c r="E357" s="151" t="s">
        <v>131</v>
      </c>
      <c r="F357" s="150" t="s">
        <v>138</v>
      </c>
    </row>
    <row r="358" spans="1:6">
      <c r="A358" s="150">
        <v>357</v>
      </c>
      <c r="B358" s="150" t="s">
        <v>191</v>
      </c>
      <c r="C358" s="150">
        <v>2</v>
      </c>
      <c r="D358" s="151" t="s">
        <v>248</v>
      </c>
      <c r="E358" s="151" t="s">
        <v>140</v>
      </c>
      <c r="F358" s="150" t="s">
        <v>164</v>
      </c>
    </row>
    <row r="359" spans="1:6">
      <c r="A359" s="150">
        <v>358</v>
      </c>
      <c r="B359" s="150" t="s">
        <v>111</v>
      </c>
      <c r="C359" s="150">
        <v>6</v>
      </c>
      <c r="D359" s="151" t="s">
        <v>248</v>
      </c>
      <c r="E359" s="151" t="s">
        <v>147</v>
      </c>
      <c r="F359" s="150" t="s">
        <v>159</v>
      </c>
    </row>
    <row r="360" spans="1:6">
      <c r="A360" s="150">
        <v>359</v>
      </c>
      <c r="B360" s="150" t="s">
        <v>110</v>
      </c>
      <c r="C360" s="150">
        <v>10</v>
      </c>
      <c r="D360" s="151" t="s">
        <v>248</v>
      </c>
      <c r="E360" s="151" t="s">
        <v>222</v>
      </c>
      <c r="F360" s="150" t="s">
        <v>142</v>
      </c>
    </row>
    <row r="361" spans="1:6">
      <c r="A361" s="150">
        <v>360</v>
      </c>
      <c r="B361" s="150" t="s">
        <v>191</v>
      </c>
      <c r="C361" s="150">
        <v>2</v>
      </c>
      <c r="D361" s="151" t="s">
        <v>248</v>
      </c>
      <c r="E361" s="151" t="s">
        <v>92</v>
      </c>
      <c r="F361" s="150" t="s">
        <v>134</v>
      </c>
    </row>
    <row r="362" spans="1:6">
      <c r="A362" s="150">
        <v>361</v>
      </c>
      <c r="B362" s="150" t="s">
        <v>110</v>
      </c>
      <c r="C362" s="150">
        <v>11</v>
      </c>
      <c r="D362" s="151" t="s">
        <v>248</v>
      </c>
      <c r="E362" s="151" t="s">
        <v>223</v>
      </c>
      <c r="F362" s="150" t="s">
        <v>145</v>
      </c>
    </row>
    <row r="363" spans="1:6">
      <c r="A363" s="150">
        <v>362</v>
      </c>
      <c r="B363" s="150" t="s">
        <v>110</v>
      </c>
      <c r="C363" s="150">
        <v>11</v>
      </c>
      <c r="D363" s="151" t="s">
        <v>248</v>
      </c>
      <c r="E363" s="151" t="s">
        <v>148</v>
      </c>
      <c r="F363" s="150" t="s">
        <v>227</v>
      </c>
    </row>
    <row r="364" spans="1:6">
      <c r="A364" s="150">
        <v>363</v>
      </c>
      <c r="B364" s="150" t="s">
        <v>110</v>
      </c>
      <c r="C364" s="150">
        <v>10</v>
      </c>
      <c r="D364" s="151" t="s">
        <v>248</v>
      </c>
      <c r="E364" s="151" t="s">
        <v>201</v>
      </c>
      <c r="F364" s="150" t="s">
        <v>234</v>
      </c>
    </row>
    <row r="365" spans="1:6">
      <c r="A365" s="150">
        <v>364</v>
      </c>
      <c r="B365" s="150" t="s">
        <v>111</v>
      </c>
      <c r="C365" s="150">
        <v>6</v>
      </c>
      <c r="D365" s="151" t="s">
        <v>248</v>
      </c>
      <c r="E365" s="151" t="s">
        <v>155</v>
      </c>
      <c r="F365" s="150" t="s">
        <v>144</v>
      </c>
    </row>
    <row r="366" spans="1:6">
      <c r="A366" s="150">
        <v>365</v>
      </c>
      <c r="B366" s="150" t="s">
        <v>191</v>
      </c>
      <c r="C366" s="150">
        <v>1</v>
      </c>
      <c r="D366" s="151" t="s">
        <v>248</v>
      </c>
      <c r="E366" s="151" t="s">
        <v>151</v>
      </c>
      <c r="F366" s="150" t="s">
        <v>176</v>
      </c>
    </row>
    <row r="367" spans="1:6">
      <c r="A367" s="150">
        <v>366</v>
      </c>
      <c r="B367" s="150" t="s">
        <v>110</v>
      </c>
      <c r="C367" s="150">
        <v>12</v>
      </c>
      <c r="D367" s="151" t="s">
        <v>248</v>
      </c>
      <c r="E367" s="151" t="s">
        <v>152</v>
      </c>
      <c r="F367" s="150" t="s">
        <v>146</v>
      </c>
    </row>
    <row r="368" spans="1:6">
      <c r="A368" s="150">
        <v>367</v>
      </c>
      <c r="B368" s="150" t="s">
        <v>111</v>
      </c>
      <c r="C368" s="150">
        <v>6</v>
      </c>
      <c r="D368" s="151" t="s">
        <v>248</v>
      </c>
      <c r="E368" s="151" t="s">
        <v>153</v>
      </c>
      <c r="F368" s="150" t="s">
        <v>96</v>
      </c>
    </row>
    <row r="369" spans="1:12">
      <c r="A369" s="150">
        <v>368</v>
      </c>
      <c r="B369" s="150" t="s">
        <v>110</v>
      </c>
      <c r="C369" s="150">
        <v>9</v>
      </c>
      <c r="D369" s="151" t="s">
        <v>248</v>
      </c>
      <c r="E369" s="151" t="s">
        <v>233</v>
      </c>
      <c r="F369" s="150" t="s">
        <v>167</v>
      </c>
      <c r="G369" s="153"/>
      <c r="H369" s="153"/>
      <c r="K369" s="152"/>
      <c r="L369" s="152"/>
    </row>
    <row r="370" spans="1:12">
      <c r="A370" s="150">
        <v>369</v>
      </c>
      <c r="B370" s="150" t="s">
        <v>110</v>
      </c>
      <c r="C370" s="150">
        <v>12</v>
      </c>
      <c r="D370" s="151" t="s">
        <v>248</v>
      </c>
      <c r="E370" s="151" t="s">
        <v>221</v>
      </c>
      <c r="F370" s="150" t="s">
        <v>143</v>
      </c>
    </row>
    <row r="371" spans="1:12">
      <c r="A371" s="150">
        <v>370</v>
      </c>
      <c r="B371" s="150" t="s">
        <v>111</v>
      </c>
      <c r="C371" s="150">
        <v>5</v>
      </c>
      <c r="D371" s="151" t="s">
        <v>248</v>
      </c>
      <c r="E371" s="151" t="s">
        <v>154</v>
      </c>
      <c r="F371" s="150" t="s">
        <v>161</v>
      </c>
    </row>
    <row r="372" spans="1:12">
      <c r="A372" s="150">
        <v>371</v>
      </c>
      <c r="B372" s="150" t="s">
        <v>109</v>
      </c>
      <c r="C372" s="150">
        <v>2</v>
      </c>
      <c r="D372" s="151" t="s">
        <v>248</v>
      </c>
      <c r="E372" s="151" t="s">
        <v>150</v>
      </c>
      <c r="F372" s="150" t="s">
        <v>118</v>
      </c>
    </row>
    <row r="373" spans="1:12">
      <c r="A373" s="150">
        <v>372</v>
      </c>
      <c r="B373" s="150" t="s">
        <v>111</v>
      </c>
      <c r="C373" s="150">
        <v>5</v>
      </c>
      <c r="D373" s="151" t="s">
        <v>248</v>
      </c>
      <c r="E373" s="151" t="s">
        <v>156</v>
      </c>
      <c r="F373" s="150" t="s">
        <v>127</v>
      </c>
    </row>
    <row r="374" spans="1:12">
      <c r="A374" s="150">
        <v>373</v>
      </c>
      <c r="B374" s="150" t="s">
        <v>111</v>
      </c>
      <c r="C374" s="150">
        <v>3</v>
      </c>
      <c r="D374" s="151" t="s">
        <v>248</v>
      </c>
      <c r="E374" s="151" t="s">
        <v>205</v>
      </c>
      <c r="F374" s="150" t="s">
        <v>204</v>
      </c>
      <c r="G374" s="153"/>
      <c r="H374" s="153"/>
      <c r="K374" s="152"/>
      <c r="L374" s="152"/>
    </row>
    <row r="375" spans="1:12">
      <c r="A375" s="150">
        <v>374</v>
      </c>
      <c r="B375" s="150" t="s">
        <v>110</v>
      </c>
      <c r="C375" s="150">
        <v>5</v>
      </c>
      <c r="D375" s="151" t="s">
        <v>248</v>
      </c>
      <c r="E375" s="151" t="s">
        <v>231</v>
      </c>
      <c r="F375" s="150" t="s">
        <v>171</v>
      </c>
    </row>
    <row r="376" spans="1:12">
      <c r="A376" s="150">
        <v>375</v>
      </c>
      <c r="B376" s="150" t="s">
        <v>110</v>
      </c>
      <c r="C376" s="150">
        <v>5</v>
      </c>
      <c r="D376" s="151" t="s">
        <v>248</v>
      </c>
      <c r="E376" s="151" t="s">
        <v>209</v>
      </c>
      <c r="F376" s="150" t="s">
        <v>235</v>
      </c>
    </row>
    <row r="377" spans="1:12">
      <c r="A377" s="150">
        <v>376</v>
      </c>
      <c r="B377" s="150" t="s">
        <v>191</v>
      </c>
      <c r="C377" s="150">
        <v>1</v>
      </c>
      <c r="D377" s="151" t="s">
        <v>248</v>
      </c>
      <c r="E377" s="151" t="s">
        <v>135</v>
      </c>
      <c r="F377" s="150" t="s">
        <v>98</v>
      </c>
    </row>
    <row r="378" spans="1:12">
      <c r="A378" s="150">
        <v>377</v>
      </c>
      <c r="B378" s="150" t="s">
        <v>111</v>
      </c>
      <c r="C378" s="150">
        <v>3</v>
      </c>
      <c r="D378" s="151" t="s">
        <v>248</v>
      </c>
      <c r="E378" s="151" t="s">
        <v>169</v>
      </c>
      <c r="F378" s="150" t="s">
        <v>190</v>
      </c>
    </row>
    <row r="379" spans="1:12">
      <c r="A379" s="150">
        <v>378</v>
      </c>
      <c r="B379" s="150" t="s">
        <v>111</v>
      </c>
      <c r="C379" s="150">
        <v>4</v>
      </c>
      <c r="D379" s="151" t="s">
        <v>248</v>
      </c>
      <c r="E379" s="151" t="s">
        <v>160</v>
      </c>
      <c r="F379" s="150" t="s">
        <v>124</v>
      </c>
    </row>
    <row r="380" spans="1:12">
      <c r="A380" s="150">
        <v>379</v>
      </c>
      <c r="B380" s="150" t="s">
        <v>110</v>
      </c>
      <c r="C380" s="150">
        <v>9</v>
      </c>
      <c r="D380" s="151" t="s">
        <v>248</v>
      </c>
      <c r="E380" s="151" t="s">
        <v>166</v>
      </c>
      <c r="F380" s="150" t="s">
        <v>241</v>
      </c>
    </row>
    <row r="381" spans="1:12">
      <c r="A381" s="150">
        <v>380</v>
      </c>
      <c r="B381" s="150" t="s">
        <v>110</v>
      </c>
      <c r="C381" s="150">
        <v>10</v>
      </c>
      <c r="D381" s="151" t="s">
        <v>248</v>
      </c>
      <c r="E381" s="151" t="s">
        <v>226</v>
      </c>
      <c r="F381" s="150" t="s">
        <v>202</v>
      </c>
    </row>
    <row r="382" spans="1:12">
      <c r="A382" s="150">
        <v>381</v>
      </c>
      <c r="B382" s="150" t="s">
        <v>110</v>
      </c>
      <c r="C382" s="150">
        <v>12</v>
      </c>
      <c r="D382" s="151" t="s">
        <v>248</v>
      </c>
      <c r="E382" s="151" t="s">
        <v>225</v>
      </c>
      <c r="F382" s="150" t="s">
        <v>224</v>
      </c>
    </row>
    <row r="383" spans="1:12">
      <c r="A383" s="150">
        <v>382</v>
      </c>
      <c r="B383" s="150" t="s">
        <v>111</v>
      </c>
      <c r="C383" s="150">
        <v>4</v>
      </c>
      <c r="D383" s="151" t="s">
        <v>248</v>
      </c>
      <c r="E383" s="151" t="s">
        <v>162</v>
      </c>
      <c r="F383" s="150" t="s">
        <v>193</v>
      </c>
    </row>
    <row r="384" spans="1:12">
      <c r="A384" s="150">
        <v>383</v>
      </c>
      <c r="B384" s="150" t="s">
        <v>109</v>
      </c>
      <c r="C384" s="150">
        <v>1</v>
      </c>
      <c r="D384" s="151" t="s">
        <v>248</v>
      </c>
      <c r="E384" s="151" t="s">
        <v>163</v>
      </c>
      <c r="F384" s="150" t="s">
        <v>199</v>
      </c>
    </row>
    <row r="385" spans="1:12">
      <c r="A385" s="150">
        <v>384</v>
      </c>
      <c r="B385" s="150" t="s">
        <v>110</v>
      </c>
      <c r="C385" s="150">
        <v>11</v>
      </c>
      <c r="D385" s="151" t="s">
        <v>248</v>
      </c>
      <c r="E385" s="151" t="s">
        <v>165</v>
      </c>
      <c r="F385" s="150" t="s">
        <v>200</v>
      </c>
    </row>
    <row r="386" spans="1:12">
      <c r="A386" s="150">
        <v>385</v>
      </c>
      <c r="B386" s="150" t="s">
        <v>110</v>
      </c>
      <c r="C386" s="150">
        <v>4</v>
      </c>
      <c r="D386" s="151" t="s">
        <v>248</v>
      </c>
      <c r="E386" s="151" t="s">
        <v>170</v>
      </c>
      <c r="F386" s="150" t="s">
        <v>172</v>
      </c>
    </row>
    <row r="387" spans="1:12">
      <c r="A387" s="150">
        <v>386</v>
      </c>
      <c r="B387" s="150" t="s">
        <v>110</v>
      </c>
      <c r="C387" s="150">
        <v>5</v>
      </c>
      <c r="D387" s="151" t="s">
        <v>248</v>
      </c>
      <c r="E387" s="151" t="s">
        <v>173</v>
      </c>
      <c r="F387" s="150" t="s">
        <v>232</v>
      </c>
    </row>
    <row r="388" spans="1:12">
      <c r="A388" s="150">
        <v>387</v>
      </c>
      <c r="B388" s="150" t="s">
        <v>191</v>
      </c>
      <c r="C388" s="150">
        <v>2</v>
      </c>
      <c r="D388" s="151" t="s">
        <v>248</v>
      </c>
      <c r="E388" s="151" t="s">
        <v>168</v>
      </c>
      <c r="F388" s="150" t="s">
        <v>203</v>
      </c>
    </row>
    <row r="389" spans="1:12">
      <c r="A389" s="150">
        <v>388</v>
      </c>
      <c r="B389" s="150" t="s">
        <v>110</v>
      </c>
      <c r="C389" s="150">
        <v>4</v>
      </c>
      <c r="D389" s="151" t="s">
        <v>248</v>
      </c>
      <c r="E389" s="151" t="s">
        <v>180</v>
      </c>
      <c r="F389" s="150" t="s">
        <v>236</v>
      </c>
      <c r="G389" s="153"/>
      <c r="H389" s="153"/>
      <c r="K389" s="152"/>
      <c r="L389" s="152"/>
    </row>
    <row r="390" spans="1:12">
      <c r="A390" s="150">
        <v>389</v>
      </c>
      <c r="B390" s="150" t="s">
        <v>111</v>
      </c>
      <c r="C390" s="150">
        <v>2</v>
      </c>
      <c r="D390" s="151" t="s">
        <v>248</v>
      </c>
      <c r="E390" s="151" t="s">
        <v>179</v>
      </c>
      <c r="F390" s="150" t="s">
        <v>114</v>
      </c>
    </row>
    <row r="391" spans="1:12">
      <c r="A391" s="150">
        <v>390</v>
      </c>
      <c r="B391" s="150" t="s">
        <v>110</v>
      </c>
      <c r="C391" s="150">
        <v>4</v>
      </c>
      <c r="D391" s="151" t="s">
        <v>248</v>
      </c>
      <c r="E391" s="151" t="s">
        <v>210</v>
      </c>
      <c r="F391" s="150" t="s">
        <v>238</v>
      </c>
    </row>
    <row r="392" spans="1:12">
      <c r="A392" s="150">
        <v>391</v>
      </c>
      <c r="B392" s="150" t="s">
        <v>110</v>
      </c>
      <c r="C392" s="150">
        <v>8</v>
      </c>
      <c r="D392" s="151" t="s">
        <v>248</v>
      </c>
      <c r="E392" s="151" t="s">
        <v>211</v>
      </c>
      <c r="F392" s="150" t="s">
        <v>217</v>
      </c>
    </row>
    <row r="393" spans="1:12">
      <c r="A393" s="150">
        <v>392</v>
      </c>
      <c r="B393" s="150" t="s">
        <v>109</v>
      </c>
      <c r="C393" s="150">
        <v>1</v>
      </c>
      <c r="D393" s="151" t="s">
        <v>248</v>
      </c>
      <c r="E393" s="151" t="s">
        <v>97</v>
      </c>
      <c r="F393" s="150" t="s">
        <v>157</v>
      </c>
    </row>
    <row r="394" spans="1:12">
      <c r="A394" s="150">
        <v>393</v>
      </c>
      <c r="B394" s="150" t="s">
        <v>110</v>
      </c>
      <c r="C394" s="150">
        <v>7</v>
      </c>
      <c r="D394" s="151" t="s">
        <v>248</v>
      </c>
      <c r="E394" s="151" t="s">
        <v>213</v>
      </c>
      <c r="F394" s="150" t="s">
        <v>212</v>
      </c>
      <c r="G394" s="153"/>
      <c r="H394" s="153"/>
      <c r="K394" s="152"/>
      <c r="L394" s="152"/>
    </row>
    <row r="395" spans="1:12">
      <c r="A395" s="150">
        <v>394</v>
      </c>
      <c r="B395" s="150" t="s">
        <v>111</v>
      </c>
      <c r="C395" s="150">
        <v>3</v>
      </c>
      <c r="D395" s="151" t="s">
        <v>248</v>
      </c>
      <c r="E395" s="151" t="s">
        <v>181</v>
      </c>
      <c r="F395" s="150" t="s">
        <v>174</v>
      </c>
      <c r="G395" s="153"/>
      <c r="H395" s="153"/>
      <c r="K395" s="152"/>
      <c r="L395" s="152"/>
    </row>
    <row r="396" spans="1:12">
      <c r="A396" s="150">
        <v>395</v>
      </c>
      <c r="B396" s="150" t="s">
        <v>110</v>
      </c>
      <c r="C396" s="150">
        <v>8</v>
      </c>
      <c r="D396" s="151" t="s">
        <v>248</v>
      </c>
      <c r="E396" s="151" t="s">
        <v>183</v>
      </c>
      <c r="F396" s="150" t="s">
        <v>194</v>
      </c>
      <c r="G396" s="153"/>
      <c r="H396" s="153"/>
      <c r="K396" s="152"/>
      <c r="L396" s="152"/>
    </row>
    <row r="397" spans="1:12">
      <c r="A397" s="150">
        <v>396</v>
      </c>
      <c r="B397" s="150" t="s">
        <v>110</v>
      </c>
      <c r="C397" s="150">
        <v>9</v>
      </c>
      <c r="D397" s="151" t="s">
        <v>248</v>
      </c>
      <c r="E397" s="151" t="s">
        <v>228</v>
      </c>
      <c r="F397" s="150" t="s">
        <v>158</v>
      </c>
      <c r="G397" s="153"/>
      <c r="H397" s="153"/>
      <c r="K397" s="152"/>
      <c r="L397" s="152"/>
    </row>
    <row r="398" spans="1:12">
      <c r="A398" s="150">
        <v>397</v>
      </c>
      <c r="B398" s="150" t="s">
        <v>110</v>
      </c>
      <c r="C398" s="150">
        <v>2</v>
      </c>
      <c r="D398" s="151" t="s">
        <v>249</v>
      </c>
      <c r="E398" s="151" t="s">
        <v>186</v>
      </c>
      <c r="F398" s="150" t="s">
        <v>112</v>
      </c>
    </row>
    <row r="399" spans="1:12">
      <c r="A399" s="150">
        <v>398</v>
      </c>
      <c r="B399" s="150" t="s">
        <v>110</v>
      </c>
      <c r="C399" s="150">
        <v>2</v>
      </c>
      <c r="D399" s="151" t="s">
        <v>249</v>
      </c>
      <c r="E399" s="151" t="s">
        <v>187</v>
      </c>
      <c r="F399" s="150" t="s">
        <v>122</v>
      </c>
    </row>
    <row r="400" spans="1:12">
      <c r="A400" s="150">
        <v>399</v>
      </c>
      <c r="B400" s="150" t="s">
        <v>111</v>
      </c>
      <c r="C400" s="150">
        <v>3</v>
      </c>
      <c r="D400" s="151" t="s">
        <v>249</v>
      </c>
      <c r="E400" s="151" t="s">
        <v>190</v>
      </c>
      <c r="F400" s="150" t="s">
        <v>205</v>
      </c>
    </row>
    <row r="401" spans="1:12">
      <c r="A401" s="150">
        <v>400</v>
      </c>
      <c r="B401" s="150" t="s">
        <v>111</v>
      </c>
      <c r="C401" s="150">
        <v>2</v>
      </c>
      <c r="D401" s="151" t="s">
        <v>249</v>
      </c>
      <c r="E401" s="151" t="s">
        <v>114</v>
      </c>
      <c r="F401" s="150" t="s">
        <v>120</v>
      </c>
    </row>
    <row r="402" spans="1:12">
      <c r="A402" s="150">
        <v>401</v>
      </c>
      <c r="B402" s="150" t="s">
        <v>191</v>
      </c>
      <c r="C402" s="150">
        <v>1</v>
      </c>
      <c r="D402" s="151" t="s">
        <v>249</v>
      </c>
      <c r="E402" s="151" t="s">
        <v>98</v>
      </c>
      <c r="F402" s="150" t="s">
        <v>177</v>
      </c>
    </row>
    <row r="403" spans="1:12">
      <c r="A403" s="150">
        <v>402</v>
      </c>
      <c r="B403" s="150" t="s">
        <v>111</v>
      </c>
      <c r="C403" s="150">
        <v>2</v>
      </c>
      <c r="D403" s="151" t="s">
        <v>249</v>
      </c>
      <c r="E403" s="151" t="s">
        <v>119</v>
      </c>
      <c r="F403" s="150" t="s">
        <v>179</v>
      </c>
    </row>
    <row r="404" spans="1:12">
      <c r="A404" s="150">
        <v>403</v>
      </c>
      <c r="B404" s="150" t="s">
        <v>110</v>
      </c>
      <c r="C404" s="150">
        <v>3</v>
      </c>
      <c r="D404" s="151" t="s">
        <v>249</v>
      </c>
      <c r="E404" s="151" t="s">
        <v>121</v>
      </c>
      <c r="F404" s="150" t="s">
        <v>240</v>
      </c>
    </row>
    <row r="405" spans="1:12">
      <c r="A405" s="150">
        <v>404</v>
      </c>
      <c r="B405" s="150" t="s">
        <v>109</v>
      </c>
      <c r="C405" s="150">
        <v>1</v>
      </c>
      <c r="D405" s="151" t="s">
        <v>249</v>
      </c>
      <c r="E405" s="151" t="s">
        <v>157</v>
      </c>
      <c r="F405" s="150" t="s">
        <v>163</v>
      </c>
    </row>
    <row r="406" spans="1:12">
      <c r="A406" s="150">
        <v>405</v>
      </c>
      <c r="B406" s="150" t="s">
        <v>111</v>
      </c>
      <c r="C406" s="150">
        <v>4</v>
      </c>
      <c r="D406" s="151" t="s">
        <v>249</v>
      </c>
      <c r="E406" s="151" t="s">
        <v>123</v>
      </c>
      <c r="F406" s="150" t="s">
        <v>162</v>
      </c>
    </row>
    <row r="407" spans="1:12">
      <c r="A407" s="150">
        <v>406</v>
      </c>
      <c r="B407" s="150" t="s">
        <v>110</v>
      </c>
      <c r="C407" s="150">
        <v>7</v>
      </c>
      <c r="D407" s="151" t="s">
        <v>249</v>
      </c>
      <c r="E407" s="151" t="s">
        <v>216</v>
      </c>
      <c r="F407" s="150" t="s">
        <v>213</v>
      </c>
    </row>
    <row r="408" spans="1:12">
      <c r="A408" s="150">
        <v>407</v>
      </c>
      <c r="B408" s="150" t="s">
        <v>111</v>
      </c>
      <c r="C408" s="150">
        <v>4</v>
      </c>
      <c r="D408" s="151" t="s">
        <v>249</v>
      </c>
      <c r="E408" s="151" t="s">
        <v>193</v>
      </c>
      <c r="F408" s="150" t="s">
        <v>160</v>
      </c>
    </row>
    <row r="409" spans="1:12">
      <c r="A409" s="150">
        <v>408</v>
      </c>
      <c r="B409" s="150" t="s">
        <v>109</v>
      </c>
      <c r="C409" s="150">
        <v>2</v>
      </c>
      <c r="D409" s="151" t="s">
        <v>249</v>
      </c>
      <c r="E409" s="151" t="s">
        <v>182</v>
      </c>
      <c r="F409" s="150" t="s">
        <v>220</v>
      </c>
    </row>
    <row r="410" spans="1:12">
      <c r="A410" s="150">
        <v>409</v>
      </c>
      <c r="B410" s="150" t="s">
        <v>110</v>
      </c>
      <c r="C410" s="150">
        <v>8</v>
      </c>
      <c r="D410" s="151" t="s">
        <v>249</v>
      </c>
      <c r="E410" s="151" t="s">
        <v>194</v>
      </c>
      <c r="F410" s="150" t="s">
        <v>208</v>
      </c>
    </row>
    <row r="411" spans="1:12">
      <c r="A411" s="150">
        <v>410</v>
      </c>
      <c r="B411" s="150" t="s">
        <v>110</v>
      </c>
      <c r="C411" s="150">
        <v>8</v>
      </c>
      <c r="D411" s="151" t="s">
        <v>249</v>
      </c>
      <c r="E411" s="151" t="s">
        <v>217</v>
      </c>
      <c r="F411" s="150" t="s">
        <v>183</v>
      </c>
      <c r="K411" s="152"/>
      <c r="L411" s="152"/>
    </row>
    <row r="412" spans="1:12">
      <c r="A412" s="150">
        <v>411</v>
      </c>
      <c r="B412" s="150" t="s">
        <v>111</v>
      </c>
      <c r="C412" s="150">
        <v>5</v>
      </c>
      <c r="D412" s="151" t="s">
        <v>249</v>
      </c>
      <c r="E412" s="151" t="s">
        <v>127</v>
      </c>
      <c r="F412" s="150" t="s">
        <v>154</v>
      </c>
    </row>
    <row r="413" spans="1:12">
      <c r="A413" s="150">
        <v>412</v>
      </c>
      <c r="B413" s="150" t="s">
        <v>110</v>
      </c>
      <c r="C413" s="150">
        <v>6</v>
      </c>
      <c r="D413" s="151" t="s">
        <v>249</v>
      </c>
      <c r="E413" s="151" t="s">
        <v>195</v>
      </c>
      <c r="F413" s="150" t="s">
        <v>230</v>
      </c>
    </row>
    <row r="414" spans="1:12">
      <c r="A414" s="150">
        <v>413</v>
      </c>
      <c r="B414" s="150" t="s">
        <v>111</v>
      </c>
      <c r="C414" s="150">
        <v>1</v>
      </c>
      <c r="D414" s="151" t="s">
        <v>249</v>
      </c>
      <c r="E414" s="151" t="s">
        <v>218</v>
      </c>
      <c r="F414" s="150" t="s">
        <v>115</v>
      </c>
    </row>
    <row r="415" spans="1:12">
      <c r="A415" s="150">
        <v>414</v>
      </c>
      <c r="B415" s="150" t="s">
        <v>110</v>
      </c>
      <c r="C415" s="150">
        <v>1</v>
      </c>
      <c r="D415" s="151" t="s">
        <v>249</v>
      </c>
      <c r="E415" s="151" t="s">
        <v>219</v>
      </c>
      <c r="F415" s="150" t="s">
        <v>131</v>
      </c>
    </row>
    <row r="416" spans="1:12">
      <c r="A416" s="150">
        <v>415</v>
      </c>
      <c r="B416" s="150" t="s">
        <v>111</v>
      </c>
      <c r="C416" s="150">
        <v>1</v>
      </c>
      <c r="D416" s="151" t="s">
        <v>249</v>
      </c>
      <c r="E416" s="151" t="s">
        <v>132</v>
      </c>
      <c r="F416" s="150" t="s">
        <v>137</v>
      </c>
    </row>
    <row r="417" spans="1:12">
      <c r="A417" s="150">
        <v>416</v>
      </c>
      <c r="B417" s="150" t="s">
        <v>191</v>
      </c>
      <c r="C417" s="150">
        <v>2</v>
      </c>
      <c r="D417" s="151" t="s">
        <v>249</v>
      </c>
      <c r="E417" s="151" t="s">
        <v>134</v>
      </c>
      <c r="F417" s="150" t="s">
        <v>140</v>
      </c>
    </row>
    <row r="418" spans="1:12">
      <c r="A418" s="150">
        <v>417</v>
      </c>
      <c r="B418" s="150" t="s">
        <v>111</v>
      </c>
      <c r="C418" s="150">
        <v>1</v>
      </c>
      <c r="D418" s="151" t="s">
        <v>249</v>
      </c>
      <c r="E418" s="151" t="s">
        <v>136</v>
      </c>
      <c r="F418" s="150" t="s">
        <v>133</v>
      </c>
    </row>
    <row r="419" spans="1:12">
      <c r="A419" s="150">
        <v>418</v>
      </c>
      <c r="B419" s="150" t="s">
        <v>110</v>
      </c>
      <c r="C419" s="150">
        <v>1</v>
      </c>
      <c r="D419" s="151" t="s">
        <v>249</v>
      </c>
      <c r="E419" s="151" t="s">
        <v>138</v>
      </c>
      <c r="F419" s="150" t="s">
        <v>130</v>
      </c>
    </row>
    <row r="420" spans="1:12">
      <c r="A420" s="150">
        <v>419</v>
      </c>
      <c r="B420" s="150" t="s">
        <v>110</v>
      </c>
      <c r="C420" s="150">
        <v>2</v>
      </c>
      <c r="D420" s="151" t="s">
        <v>249</v>
      </c>
      <c r="E420" s="151" t="s">
        <v>189</v>
      </c>
      <c r="F420" s="150" t="s">
        <v>215</v>
      </c>
    </row>
    <row r="421" spans="1:12">
      <c r="A421" s="150">
        <v>420</v>
      </c>
      <c r="B421" s="150" t="s">
        <v>109</v>
      </c>
      <c r="C421" s="150">
        <v>2</v>
      </c>
      <c r="D421" s="151" t="s">
        <v>249</v>
      </c>
      <c r="E421" s="151" t="s">
        <v>118</v>
      </c>
      <c r="F421" s="150" t="s">
        <v>129</v>
      </c>
    </row>
    <row r="422" spans="1:12">
      <c r="A422" s="150">
        <v>421</v>
      </c>
      <c r="B422" s="150" t="s">
        <v>110</v>
      </c>
      <c r="C422" s="150">
        <v>1</v>
      </c>
      <c r="D422" s="151" t="s">
        <v>249</v>
      </c>
      <c r="E422" s="151" t="s">
        <v>197</v>
      </c>
      <c r="F422" s="150" t="s">
        <v>196</v>
      </c>
      <c r="K422" s="152"/>
      <c r="L422" s="152"/>
    </row>
    <row r="423" spans="1:12">
      <c r="A423" s="150">
        <v>422</v>
      </c>
      <c r="B423" s="150" t="s">
        <v>111</v>
      </c>
      <c r="C423" s="150">
        <v>6</v>
      </c>
      <c r="D423" s="151" t="s">
        <v>249</v>
      </c>
      <c r="E423" s="151" t="s">
        <v>96</v>
      </c>
      <c r="F423" s="150" t="s">
        <v>155</v>
      </c>
    </row>
    <row r="424" spans="1:12">
      <c r="A424" s="150">
        <v>423</v>
      </c>
      <c r="B424" s="150" t="s">
        <v>191</v>
      </c>
      <c r="C424" s="150">
        <v>1</v>
      </c>
      <c r="D424" s="151" t="s">
        <v>249</v>
      </c>
      <c r="E424" s="151" t="s">
        <v>139</v>
      </c>
      <c r="F424" s="150" t="s">
        <v>151</v>
      </c>
    </row>
    <row r="425" spans="1:12">
      <c r="A425" s="150">
        <v>424</v>
      </c>
      <c r="B425" s="150" t="s">
        <v>111</v>
      </c>
      <c r="C425" s="150">
        <v>5</v>
      </c>
      <c r="D425" s="151" t="s">
        <v>249</v>
      </c>
      <c r="E425" s="151" t="s">
        <v>141</v>
      </c>
      <c r="F425" s="150" t="s">
        <v>156</v>
      </c>
    </row>
    <row r="426" spans="1:12">
      <c r="A426" s="150">
        <v>425</v>
      </c>
      <c r="B426" s="150" t="s">
        <v>109</v>
      </c>
      <c r="C426" s="150">
        <v>2</v>
      </c>
      <c r="D426" s="151" t="s">
        <v>249</v>
      </c>
      <c r="E426" s="151" t="s">
        <v>198</v>
      </c>
      <c r="F426" s="150" t="s">
        <v>150</v>
      </c>
    </row>
    <row r="427" spans="1:12">
      <c r="A427" s="150">
        <v>426</v>
      </c>
      <c r="B427" s="150" t="s">
        <v>110</v>
      </c>
      <c r="C427" s="150">
        <v>12</v>
      </c>
      <c r="D427" s="151" t="s">
        <v>249</v>
      </c>
      <c r="E427" s="151" t="s">
        <v>143</v>
      </c>
      <c r="F427" s="150" t="s">
        <v>225</v>
      </c>
    </row>
    <row r="428" spans="1:12">
      <c r="A428" s="150">
        <v>427</v>
      </c>
      <c r="B428" s="150" t="s">
        <v>110</v>
      </c>
      <c r="C428" s="150">
        <v>10</v>
      </c>
      <c r="D428" s="151" t="s">
        <v>249</v>
      </c>
      <c r="E428" s="151" t="s">
        <v>142</v>
      </c>
      <c r="F428" s="150" t="s">
        <v>201</v>
      </c>
    </row>
    <row r="429" spans="1:12">
      <c r="A429" s="150">
        <v>428</v>
      </c>
      <c r="B429" s="150" t="s">
        <v>110</v>
      </c>
      <c r="C429" s="150">
        <v>11</v>
      </c>
      <c r="D429" s="151" t="s">
        <v>249</v>
      </c>
      <c r="E429" s="151" t="s">
        <v>145</v>
      </c>
      <c r="F429" s="150" t="s">
        <v>148</v>
      </c>
    </row>
    <row r="430" spans="1:12">
      <c r="A430" s="150">
        <v>429</v>
      </c>
      <c r="B430" s="150" t="s">
        <v>111</v>
      </c>
      <c r="C430" s="150">
        <v>6</v>
      </c>
      <c r="D430" s="151" t="s">
        <v>249</v>
      </c>
      <c r="E430" s="151" t="s">
        <v>159</v>
      </c>
      <c r="F430" s="150" t="s">
        <v>153</v>
      </c>
    </row>
    <row r="431" spans="1:12">
      <c r="A431" s="150">
        <v>430</v>
      </c>
      <c r="B431" s="150" t="s">
        <v>110</v>
      </c>
      <c r="C431" s="150">
        <v>12</v>
      </c>
      <c r="D431" s="151" t="s">
        <v>249</v>
      </c>
      <c r="E431" s="151" t="s">
        <v>146</v>
      </c>
      <c r="F431" s="150" t="s">
        <v>221</v>
      </c>
    </row>
    <row r="432" spans="1:12">
      <c r="A432" s="150">
        <v>431</v>
      </c>
      <c r="B432" s="150" t="s">
        <v>191</v>
      </c>
      <c r="C432" s="150">
        <v>2</v>
      </c>
      <c r="D432" s="151" t="s">
        <v>249</v>
      </c>
      <c r="E432" s="151" t="s">
        <v>164</v>
      </c>
      <c r="F432" s="150" t="s">
        <v>168</v>
      </c>
    </row>
    <row r="433" spans="1:12">
      <c r="A433" s="150">
        <v>432</v>
      </c>
      <c r="B433" s="150" t="s">
        <v>109</v>
      </c>
      <c r="C433" s="150">
        <v>1</v>
      </c>
      <c r="D433" s="151" t="s">
        <v>249</v>
      </c>
      <c r="E433" s="151" t="s">
        <v>199</v>
      </c>
      <c r="F433" s="150" t="s">
        <v>113</v>
      </c>
    </row>
    <row r="434" spans="1:12">
      <c r="A434" s="150">
        <v>433</v>
      </c>
      <c r="B434" s="150" t="s">
        <v>110</v>
      </c>
      <c r="C434" s="150">
        <v>11</v>
      </c>
      <c r="D434" s="151" t="s">
        <v>249</v>
      </c>
      <c r="E434" s="151" t="s">
        <v>200</v>
      </c>
      <c r="F434" s="150" t="s">
        <v>223</v>
      </c>
      <c r="K434" s="152"/>
      <c r="L434" s="152"/>
    </row>
    <row r="435" spans="1:12">
      <c r="A435" s="150">
        <v>434</v>
      </c>
      <c r="B435" s="150" t="s">
        <v>109</v>
      </c>
      <c r="C435" s="150">
        <v>1</v>
      </c>
      <c r="D435" s="151" t="s">
        <v>249</v>
      </c>
      <c r="E435" s="151" t="s">
        <v>149</v>
      </c>
      <c r="F435" s="150" t="s">
        <v>97</v>
      </c>
    </row>
    <row r="436" spans="1:12">
      <c r="A436" s="150">
        <v>435</v>
      </c>
      <c r="B436" s="150" t="s">
        <v>110</v>
      </c>
      <c r="C436" s="150">
        <v>12</v>
      </c>
      <c r="D436" s="151" t="s">
        <v>249</v>
      </c>
      <c r="E436" s="151" t="s">
        <v>224</v>
      </c>
      <c r="F436" s="150" t="s">
        <v>152</v>
      </c>
    </row>
    <row r="437" spans="1:12">
      <c r="A437" s="150">
        <v>436</v>
      </c>
      <c r="B437" s="150" t="s">
        <v>110</v>
      </c>
      <c r="C437" s="150">
        <v>10</v>
      </c>
      <c r="D437" s="151" t="s">
        <v>249</v>
      </c>
      <c r="E437" s="151" t="s">
        <v>202</v>
      </c>
      <c r="F437" s="150" t="s">
        <v>222</v>
      </c>
    </row>
    <row r="438" spans="1:12">
      <c r="A438" s="150">
        <v>437</v>
      </c>
      <c r="B438" s="150" t="s">
        <v>110</v>
      </c>
      <c r="C438" s="150">
        <v>11</v>
      </c>
      <c r="D438" s="151" t="s">
        <v>249</v>
      </c>
      <c r="E438" s="151" t="s">
        <v>227</v>
      </c>
      <c r="F438" s="150" t="s">
        <v>165</v>
      </c>
    </row>
    <row r="439" spans="1:12">
      <c r="A439" s="150">
        <v>438</v>
      </c>
      <c r="B439" s="150" t="s">
        <v>110</v>
      </c>
      <c r="C439" s="150">
        <v>9</v>
      </c>
      <c r="D439" s="151" t="s">
        <v>249</v>
      </c>
      <c r="E439" s="151" t="s">
        <v>158</v>
      </c>
      <c r="F439" s="150" t="s">
        <v>166</v>
      </c>
    </row>
    <row r="440" spans="1:12">
      <c r="A440" s="150">
        <v>439</v>
      </c>
      <c r="B440" s="150" t="s">
        <v>191</v>
      </c>
      <c r="C440" s="150">
        <v>2</v>
      </c>
      <c r="D440" s="151" t="s">
        <v>249</v>
      </c>
      <c r="E440" s="151" t="s">
        <v>203</v>
      </c>
      <c r="F440" s="150" t="s">
        <v>92</v>
      </c>
    </row>
    <row r="441" spans="1:12">
      <c r="A441" s="150">
        <v>440</v>
      </c>
      <c r="B441" s="150" t="s">
        <v>111</v>
      </c>
      <c r="C441" s="150">
        <v>3</v>
      </c>
      <c r="D441" s="151" t="s">
        <v>249</v>
      </c>
      <c r="E441" s="151" t="s">
        <v>204</v>
      </c>
      <c r="F441" s="150" t="s">
        <v>181</v>
      </c>
      <c r="G441" s="153"/>
      <c r="H441" s="153"/>
      <c r="K441" s="152"/>
      <c r="L441" s="152"/>
    </row>
    <row r="442" spans="1:12">
      <c r="A442" s="150">
        <v>441</v>
      </c>
      <c r="B442" s="150" t="s">
        <v>110</v>
      </c>
      <c r="C442" s="150">
        <v>6</v>
      </c>
      <c r="D442" s="151" t="s">
        <v>249</v>
      </c>
      <c r="E442" s="151" t="s">
        <v>206</v>
      </c>
      <c r="F442" s="150" t="s">
        <v>188</v>
      </c>
    </row>
    <row r="443" spans="1:12">
      <c r="A443" s="150">
        <v>442</v>
      </c>
      <c r="B443" s="150" t="s">
        <v>110</v>
      </c>
      <c r="C443" s="150">
        <v>6</v>
      </c>
      <c r="D443" s="151" t="s">
        <v>249</v>
      </c>
      <c r="E443" s="151" t="s">
        <v>128</v>
      </c>
      <c r="F443" s="150" t="s">
        <v>229</v>
      </c>
    </row>
    <row r="444" spans="1:12">
      <c r="A444" s="150">
        <v>443</v>
      </c>
      <c r="B444" s="150" t="s">
        <v>110</v>
      </c>
      <c r="C444" s="150">
        <v>5</v>
      </c>
      <c r="D444" s="151" t="s">
        <v>249</v>
      </c>
      <c r="E444" s="151" t="s">
        <v>171</v>
      </c>
      <c r="F444" s="150" t="s">
        <v>209</v>
      </c>
    </row>
    <row r="445" spans="1:12">
      <c r="A445" s="150">
        <v>444</v>
      </c>
      <c r="B445" s="150" t="s">
        <v>110</v>
      </c>
      <c r="C445" s="150">
        <v>5</v>
      </c>
      <c r="D445" s="151" t="s">
        <v>249</v>
      </c>
      <c r="E445" s="151" t="s">
        <v>232</v>
      </c>
      <c r="F445" s="150" t="s">
        <v>231</v>
      </c>
    </row>
    <row r="446" spans="1:12">
      <c r="A446" s="150">
        <v>445</v>
      </c>
      <c r="B446" s="150" t="s">
        <v>110</v>
      </c>
      <c r="C446" s="150">
        <v>9</v>
      </c>
      <c r="D446" s="151" t="s">
        <v>249</v>
      </c>
      <c r="E446" s="151" t="s">
        <v>167</v>
      </c>
      <c r="F446" s="150" t="s">
        <v>228</v>
      </c>
    </row>
    <row r="447" spans="1:12">
      <c r="A447" s="150">
        <v>446</v>
      </c>
      <c r="B447" s="150" t="s">
        <v>110</v>
      </c>
      <c r="C447" s="150">
        <v>10</v>
      </c>
      <c r="D447" s="151" t="s">
        <v>249</v>
      </c>
      <c r="E447" s="151" t="s">
        <v>234</v>
      </c>
      <c r="F447" s="150" t="s">
        <v>226</v>
      </c>
    </row>
    <row r="448" spans="1:12">
      <c r="A448" s="150">
        <v>447</v>
      </c>
      <c r="B448" s="150" t="s">
        <v>111</v>
      </c>
      <c r="C448" s="150">
        <v>6</v>
      </c>
      <c r="D448" s="151" t="s">
        <v>249</v>
      </c>
      <c r="E448" s="151" t="s">
        <v>144</v>
      </c>
      <c r="F448" s="150" t="s">
        <v>147</v>
      </c>
    </row>
    <row r="449" spans="1:12">
      <c r="A449" s="150">
        <v>448</v>
      </c>
      <c r="B449" s="150" t="s">
        <v>111</v>
      </c>
      <c r="C449" s="150">
        <v>4</v>
      </c>
      <c r="D449" s="151" t="s">
        <v>249</v>
      </c>
      <c r="E449" s="151" t="s">
        <v>124</v>
      </c>
      <c r="F449" s="150" t="s">
        <v>126</v>
      </c>
    </row>
    <row r="450" spans="1:12">
      <c r="A450" s="150">
        <v>449</v>
      </c>
      <c r="B450" s="150" t="s">
        <v>111</v>
      </c>
      <c r="C450" s="150">
        <v>5</v>
      </c>
      <c r="D450" s="151" t="s">
        <v>249</v>
      </c>
      <c r="E450" s="151" t="s">
        <v>161</v>
      </c>
      <c r="F450" s="150" t="s">
        <v>175</v>
      </c>
    </row>
    <row r="451" spans="1:12">
      <c r="A451" s="150">
        <v>450</v>
      </c>
      <c r="B451" s="150" t="s">
        <v>110</v>
      </c>
      <c r="C451" s="150">
        <v>5</v>
      </c>
      <c r="D451" s="151" t="s">
        <v>249</v>
      </c>
      <c r="E451" s="151" t="s">
        <v>235</v>
      </c>
      <c r="F451" s="150" t="s">
        <v>173</v>
      </c>
    </row>
    <row r="452" spans="1:12">
      <c r="A452" s="150">
        <v>451</v>
      </c>
      <c r="B452" s="150" t="s">
        <v>110</v>
      </c>
      <c r="C452" s="150">
        <v>4</v>
      </c>
      <c r="D452" s="151" t="s">
        <v>249</v>
      </c>
      <c r="E452" s="151" t="s">
        <v>172</v>
      </c>
      <c r="F452" s="150" t="s">
        <v>180</v>
      </c>
    </row>
    <row r="453" spans="1:12">
      <c r="A453" s="150">
        <v>452</v>
      </c>
      <c r="B453" s="150" t="s">
        <v>110</v>
      </c>
      <c r="C453" s="150">
        <v>4</v>
      </c>
      <c r="D453" s="151" t="s">
        <v>249</v>
      </c>
      <c r="E453" s="151" t="s">
        <v>236</v>
      </c>
      <c r="F453" s="150" t="s">
        <v>210</v>
      </c>
    </row>
    <row r="454" spans="1:12">
      <c r="A454" s="150">
        <v>453</v>
      </c>
      <c r="B454" s="150" t="s">
        <v>111</v>
      </c>
      <c r="C454" s="150">
        <v>3</v>
      </c>
      <c r="D454" s="151" t="s">
        <v>249</v>
      </c>
      <c r="E454" s="151" t="s">
        <v>174</v>
      </c>
      <c r="F454" s="150" t="s">
        <v>169</v>
      </c>
    </row>
    <row r="455" spans="1:12">
      <c r="A455" s="150">
        <v>454</v>
      </c>
      <c r="B455" s="150" t="s">
        <v>191</v>
      </c>
      <c r="C455" s="150">
        <v>1</v>
      </c>
      <c r="D455" s="151" t="s">
        <v>249</v>
      </c>
      <c r="E455" s="151" t="s">
        <v>176</v>
      </c>
      <c r="F455" s="150" t="s">
        <v>135</v>
      </c>
    </row>
    <row r="456" spans="1:12">
      <c r="A456" s="150">
        <v>455</v>
      </c>
      <c r="B456" s="150" t="s">
        <v>111</v>
      </c>
      <c r="C456" s="150">
        <v>2</v>
      </c>
      <c r="D456" s="151" t="s">
        <v>249</v>
      </c>
      <c r="E456" s="151" t="s">
        <v>178</v>
      </c>
      <c r="F456" s="150" t="s">
        <v>116</v>
      </c>
    </row>
    <row r="457" spans="1:12">
      <c r="A457" s="150">
        <v>456</v>
      </c>
      <c r="B457" s="150" t="s">
        <v>110</v>
      </c>
      <c r="C457" s="150">
        <v>3</v>
      </c>
      <c r="D457" s="151" t="s">
        <v>249</v>
      </c>
      <c r="E457" s="151" t="s">
        <v>117</v>
      </c>
      <c r="F457" s="150" t="s">
        <v>192</v>
      </c>
    </row>
    <row r="458" spans="1:12">
      <c r="A458" s="150">
        <v>457</v>
      </c>
      <c r="B458" s="150" t="s">
        <v>110</v>
      </c>
      <c r="C458" s="150">
        <v>4</v>
      </c>
      <c r="D458" s="151" t="s">
        <v>249</v>
      </c>
      <c r="E458" s="151" t="s">
        <v>238</v>
      </c>
      <c r="F458" s="150" t="s">
        <v>170</v>
      </c>
    </row>
    <row r="459" spans="1:12">
      <c r="A459" s="150">
        <v>458</v>
      </c>
      <c r="B459" s="150" t="s">
        <v>110</v>
      </c>
      <c r="C459" s="150">
        <v>3</v>
      </c>
      <c r="D459" s="151" t="s">
        <v>249</v>
      </c>
      <c r="E459" s="151" t="s">
        <v>239</v>
      </c>
      <c r="F459" s="150" t="s">
        <v>237</v>
      </c>
      <c r="G459" s="153"/>
      <c r="H459" s="153"/>
      <c r="K459" s="152"/>
      <c r="L459" s="152"/>
    </row>
    <row r="460" spans="1:12">
      <c r="A460" s="150">
        <v>459</v>
      </c>
      <c r="B460" s="150" t="s">
        <v>110</v>
      </c>
      <c r="C460" s="150">
        <v>9</v>
      </c>
      <c r="D460" s="151" t="s">
        <v>249</v>
      </c>
      <c r="E460" s="151" t="s">
        <v>241</v>
      </c>
      <c r="F460" s="150" t="s">
        <v>233</v>
      </c>
      <c r="G460" s="153"/>
      <c r="H460" s="153"/>
      <c r="K460" s="152"/>
      <c r="L460" s="152"/>
    </row>
    <row r="461" spans="1:12">
      <c r="A461" s="150">
        <v>460</v>
      </c>
      <c r="B461" s="150" t="s">
        <v>110</v>
      </c>
      <c r="C461" s="150">
        <v>7</v>
      </c>
      <c r="D461" s="151" t="s">
        <v>249</v>
      </c>
      <c r="E461" s="151" t="s">
        <v>212</v>
      </c>
      <c r="F461" s="150" t="s">
        <v>207</v>
      </c>
      <c r="G461" s="153"/>
      <c r="H461" s="153"/>
      <c r="K461" s="152"/>
      <c r="L461" s="152"/>
    </row>
    <row r="462" spans="1:12">
      <c r="A462" s="150">
        <v>461</v>
      </c>
      <c r="B462" s="150" t="s">
        <v>110</v>
      </c>
      <c r="C462" s="150">
        <v>7</v>
      </c>
      <c r="D462" s="151" t="s">
        <v>249</v>
      </c>
      <c r="E462" s="151" t="s">
        <v>184</v>
      </c>
      <c r="F462" s="150" t="s">
        <v>125</v>
      </c>
      <c r="G462" s="153"/>
      <c r="H462" s="153"/>
      <c r="K462" s="152"/>
      <c r="L462" s="152"/>
    </row>
    <row r="463" spans="1:12">
      <c r="A463" s="150">
        <v>462</v>
      </c>
      <c r="B463" s="150" t="s">
        <v>110</v>
      </c>
      <c r="C463" s="150">
        <v>8</v>
      </c>
      <c r="D463" s="151" t="s">
        <v>249</v>
      </c>
      <c r="E463" s="151" t="s">
        <v>242</v>
      </c>
      <c r="F463" s="150" t="s">
        <v>211</v>
      </c>
      <c r="G463" s="153"/>
      <c r="H463" s="153"/>
      <c r="K463" s="152"/>
      <c r="L463" s="152"/>
    </row>
    <row r="464" spans="1:12">
      <c r="A464" s="150">
        <v>463</v>
      </c>
      <c r="B464" s="150" t="s">
        <v>110</v>
      </c>
      <c r="C464" s="150">
        <v>3</v>
      </c>
      <c r="D464" s="151" t="s">
        <v>250</v>
      </c>
      <c r="E464" s="151" t="s">
        <v>240</v>
      </c>
      <c r="F464" s="150" t="s">
        <v>192</v>
      </c>
    </row>
    <row r="465" spans="1:12">
      <c r="A465" s="150">
        <v>464</v>
      </c>
      <c r="B465" s="150" t="s">
        <v>110</v>
      </c>
      <c r="C465" s="150">
        <v>2</v>
      </c>
      <c r="D465" s="151" t="s">
        <v>250</v>
      </c>
      <c r="E465" s="151" t="s">
        <v>187</v>
      </c>
      <c r="F465" s="150" t="s">
        <v>189</v>
      </c>
    </row>
    <row r="466" spans="1:12">
      <c r="A466" s="150">
        <v>465</v>
      </c>
      <c r="B466" s="150" t="s">
        <v>110</v>
      </c>
      <c r="C466" s="150">
        <v>6</v>
      </c>
      <c r="D466" s="151" t="s">
        <v>250</v>
      </c>
      <c r="E466" s="151" t="s">
        <v>188</v>
      </c>
      <c r="F466" s="150" t="s">
        <v>128</v>
      </c>
    </row>
    <row r="467" spans="1:12">
      <c r="A467" s="150">
        <v>466</v>
      </c>
      <c r="B467" s="150" t="s">
        <v>111</v>
      </c>
      <c r="C467" s="150">
        <v>2</v>
      </c>
      <c r="D467" s="151" t="s">
        <v>250</v>
      </c>
      <c r="E467" s="151" t="s">
        <v>120</v>
      </c>
      <c r="F467" s="150" t="s">
        <v>179</v>
      </c>
    </row>
    <row r="468" spans="1:12">
      <c r="A468" s="150">
        <v>467</v>
      </c>
      <c r="B468" s="150" t="s">
        <v>111</v>
      </c>
      <c r="C468" s="150">
        <v>2</v>
      </c>
      <c r="D468" s="151" t="s">
        <v>250</v>
      </c>
      <c r="E468" s="151" t="s">
        <v>116</v>
      </c>
      <c r="F468" s="150" t="s">
        <v>114</v>
      </c>
    </row>
    <row r="469" spans="1:12">
      <c r="A469" s="150">
        <v>468</v>
      </c>
      <c r="B469" s="150" t="s">
        <v>110</v>
      </c>
      <c r="C469" s="150">
        <v>3</v>
      </c>
      <c r="D469" s="151" t="s">
        <v>250</v>
      </c>
      <c r="E469" s="151" t="s">
        <v>237</v>
      </c>
      <c r="F469" s="150" t="s">
        <v>121</v>
      </c>
    </row>
    <row r="470" spans="1:12">
      <c r="A470" s="150">
        <v>469</v>
      </c>
      <c r="B470" s="150" t="s">
        <v>110</v>
      </c>
      <c r="C470" s="150">
        <v>2</v>
      </c>
      <c r="D470" s="151" t="s">
        <v>250</v>
      </c>
      <c r="E470" s="151" t="s">
        <v>122</v>
      </c>
      <c r="F470" s="150" t="s">
        <v>186</v>
      </c>
    </row>
    <row r="471" spans="1:12">
      <c r="A471" s="150">
        <v>470</v>
      </c>
      <c r="B471" s="150" t="s">
        <v>110</v>
      </c>
      <c r="C471" s="150">
        <v>2</v>
      </c>
      <c r="D471" s="151" t="s">
        <v>250</v>
      </c>
      <c r="E471" s="151" t="s">
        <v>112</v>
      </c>
      <c r="F471" s="150" t="s">
        <v>215</v>
      </c>
    </row>
    <row r="472" spans="1:12">
      <c r="A472" s="150">
        <v>471</v>
      </c>
      <c r="B472" s="150" t="s">
        <v>111</v>
      </c>
      <c r="C472" s="150">
        <v>4</v>
      </c>
      <c r="D472" s="151" t="s">
        <v>250</v>
      </c>
      <c r="E472" s="151" t="s">
        <v>126</v>
      </c>
      <c r="F472" s="150" t="s">
        <v>193</v>
      </c>
    </row>
    <row r="473" spans="1:12">
      <c r="A473" s="150">
        <v>472</v>
      </c>
      <c r="B473" s="150" t="s">
        <v>110</v>
      </c>
      <c r="C473" s="150">
        <v>7</v>
      </c>
      <c r="D473" s="151" t="s">
        <v>250</v>
      </c>
      <c r="E473" s="151" t="s">
        <v>216</v>
      </c>
      <c r="F473" s="150" t="s">
        <v>212</v>
      </c>
    </row>
    <row r="474" spans="1:12">
      <c r="A474" s="150">
        <v>473</v>
      </c>
      <c r="B474" s="150" t="s">
        <v>110</v>
      </c>
      <c r="C474" s="150">
        <v>7</v>
      </c>
      <c r="D474" s="151" t="s">
        <v>250</v>
      </c>
      <c r="E474" s="151" t="s">
        <v>125</v>
      </c>
      <c r="F474" s="150" t="s">
        <v>207</v>
      </c>
    </row>
    <row r="475" spans="1:12">
      <c r="A475" s="150">
        <v>474</v>
      </c>
      <c r="B475" s="150" t="s">
        <v>110</v>
      </c>
      <c r="C475" s="150">
        <v>8</v>
      </c>
      <c r="D475" s="151" t="s">
        <v>250</v>
      </c>
      <c r="E475" s="151" t="s">
        <v>208</v>
      </c>
      <c r="F475" s="150" t="s">
        <v>183</v>
      </c>
    </row>
    <row r="476" spans="1:12">
      <c r="A476" s="150">
        <v>475</v>
      </c>
      <c r="B476" s="150" t="s">
        <v>111</v>
      </c>
      <c r="C476" s="150">
        <v>5</v>
      </c>
      <c r="D476" s="151" t="s">
        <v>250</v>
      </c>
      <c r="E476" s="151" t="s">
        <v>127</v>
      </c>
      <c r="F476" s="150" t="s">
        <v>161</v>
      </c>
    </row>
    <row r="477" spans="1:12">
      <c r="A477" s="150">
        <v>476</v>
      </c>
      <c r="B477" s="150" t="s">
        <v>109</v>
      </c>
      <c r="C477" s="150">
        <v>1</v>
      </c>
      <c r="D477" s="151" t="s">
        <v>250</v>
      </c>
      <c r="E477" s="151" t="s">
        <v>113</v>
      </c>
      <c r="F477" s="150" t="s">
        <v>163</v>
      </c>
    </row>
    <row r="478" spans="1:12">
      <c r="A478" s="150">
        <v>477</v>
      </c>
      <c r="B478" s="150" t="s">
        <v>110</v>
      </c>
      <c r="C478" s="150">
        <v>6</v>
      </c>
      <c r="D478" s="151" t="s">
        <v>250</v>
      </c>
      <c r="E478" s="151" t="s">
        <v>229</v>
      </c>
      <c r="F478" s="150" t="s">
        <v>230</v>
      </c>
      <c r="G478" s="153"/>
      <c r="H478" s="153"/>
      <c r="K478" s="152"/>
      <c r="L478" s="152"/>
    </row>
    <row r="479" spans="1:12">
      <c r="A479" s="150">
        <v>478</v>
      </c>
      <c r="B479" s="150" t="s">
        <v>111</v>
      </c>
      <c r="C479" s="150">
        <v>1</v>
      </c>
      <c r="D479" s="151" t="s">
        <v>250</v>
      </c>
      <c r="E479" s="151" t="s">
        <v>133</v>
      </c>
      <c r="F479" s="150" t="s">
        <v>132</v>
      </c>
    </row>
    <row r="480" spans="1:12">
      <c r="A480" s="150">
        <v>479</v>
      </c>
      <c r="B480" s="150" t="s">
        <v>111</v>
      </c>
      <c r="C480" s="150">
        <v>1</v>
      </c>
      <c r="D480" s="151" t="s">
        <v>250</v>
      </c>
      <c r="E480" s="151" t="s">
        <v>137</v>
      </c>
      <c r="F480" s="150" t="s">
        <v>115</v>
      </c>
    </row>
    <row r="481" spans="1:6">
      <c r="A481" s="150">
        <v>480</v>
      </c>
      <c r="B481" s="150" t="s">
        <v>110</v>
      </c>
      <c r="C481" s="150">
        <v>1</v>
      </c>
      <c r="D481" s="151" t="s">
        <v>250</v>
      </c>
      <c r="E481" s="151" t="s">
        <v>130</v>
      </c>
      <c r="F481" s="150" t="s">
        <v>219</v>
      </c>
    </row>
    <row r="482" spans="1:6">
      <c r="A482" s="150">
        <v>481</v>
      </c>
      <c r="B482" s="150" t="s">
        <v>109</v>
      </c>
      <c r="C482" s="150">
        <v>2</v>
      </c>
      <c r="D482" s="151" t="s">
        <v>250</v>
      </c>
      <c r="E482" s="151" t="s">
        <v>220</v>
      </c>
      <c r="F482" s="150" t="s">
        <v>129</v>
      </c>
    </row>
    <row r="483" spans="1:6">
      <c r="A483" s="150">
        <v>482</v>
      </c>
      <c r="B483" s="150" t="s">
        <v>110</v>
      </c>
      <c r="C483" s="150">
        <v>1</v>
      </c>
      <c r="D483" s="151" t="s">
        <v>250</v>
      </c>
      <c r="E483" s="151" t="s">
        <v>131</v>
      </c>
      <c r="F483" s="150" t="s">
        <v>196</v>
      </c>
    </row>
    <row r="484" spans="1:6">
      <c r="A484" s="150">
        <v>483</v>
      </c>
      <c r="B484" s="150" t="s">
        <v>191</v>
      </c>
      <c r="C484" s="150">
        <v>2</v>
      </c>
      <c r="D484" s="151" t="s">
        <v>250</v>
      </c>
      <c r="E484" s="151" t="s">
        <v>134</v>
      </c>
      <c r="F484" s="150" t="s">
        <v>164</v>
      </c>
    </row>
    <row r="485" spans="1:6">
      <c r="A485" s="150">
        <v>484</v>
      </c>
      <c r="B485" s="150" t="s">
        <v>111</v>
      </c>
      <c r="C485" s="150">
        <v>1</v>
      </c>
      <c r="D485" s="151" t="s">
        <v>250</v>
      </c>
      <c r="E485" s="151" t="s">
        <v>136</v>
      </c>
      <c r="F485" s="150" t="s">
        <v>218</v>
      </c>
    </row>
    <row r="486" spans="1:6">
      <c r="A486" s="150">
        <v>485</v>
      </c>
      <c r="B486" s="150" t="s">
        <v>110</v>
      </c>
      <c r="C486" s="150">
        <v>1</v>
      </c>
      <c r="D486" s="151" t="s">
        <v>250</v>
      </c>
      <c r="E486" s="151" t="s">
        <v>138</v>
      </c>
      <c r="F486" s="150" t="s">
        <v>197</v>
      </c>
    </row>
    <row r="487" spans="1:6">
      <c r="A487" s="150">
        <v>486</v>
      </c>
      <c r="B487" s="150" t="s">
        <v>191</v>
      </c>
      <c r="C487" s="150">
        <v>2</v>
      </c>
      <c r="D487" s="151" t="s">
        <v>250</v>
      </c>
      <c r="E487" s="151" t="s">
        <v>140</v>
      </c>
      <c r="F487" s="150" t="s">
        <v>203</v>
      </c>
    </row>
    <row r="488" spans="1:6">
      <c r="A488" s="150">
        <v>487</v>
      </c>
      <c r="B488" s="150" t="s">
        <v>111</v>
      </c>
      <c r="C488" s="150">
        <v>6</v>
      </c>
      <c r="D488" s="151" t="s">
        <v>250</v>
      </c>
      <c r="E488" s="151" t="s">
        <v>147</v>
      </c>
      <c r="F488" s="150" t="s">
        <v>96</v>
      </c>
    </row>
    <row r="489" spans="1:6">
      <c r="A489" s="150">
        <v>488</v>
      </c>
      <c r="B489" s="150" t="s">
        <v>110</v>
      </c>
      <c r="C489" s="150">
        <v>10</v>
      </c>
      <c r="D489" s="151" t="s">
        <v>250</v>
      </c>
      <c r="E489" s="151" t="s">
        <v>222</v>
      </c>
      <c r="F489" s="150" t="s">
        <v>226</v>
      </c>
    </row>
    <row r="490" spans="1:6">
      <c r="A490" s="150">
        <v>489</v>
      </c>
      <c r="B490" s="150" t="s">
        <v>191</v>
      </c>
      <c r="C490" s="150">
        <v>2</v>
      </c>
      <c r="D490" s="151" t="s">
        <v>250</v>
      </c>
      <c r="E490" s="151" t="s">
        <v>92</v>
      </c>
      <c r="F490" s="150" t="s">
        <v>168</v>
      </c>
    </row>
    <row r="491" spans="1:6">
      <c r="A491" s="150">
        <v>490</v>
      </c>
      <c r="B491" s="150" t="s">
        <v>110</v>
      </c>
      <c r="C491" s="150">
        <v>11</v>
      </c>
      <c r="D491" s="151" t="s">
        <v>250</v>
      </c>
      <c r="E491" s="151" t="s">
        <v>223</v>
      </c>
      <c r="F491" s="150" t="s">
        <v>165</v>
      </c>
    </row>
    <row r="492" spans="1:6">
      <c r="A492" s="150">
        <v>491</v>
      </c>
      <c r="B492" s="150" t="s">
        <v>109</v>
      </c>
      <c r="C492" s="150">
        <v>2</v>
      </c>
      <c r="D492" s="151" t="s">
        <v>250</v>
      </c>
      <c r="E492" s="151" t="s">
        <v>198</v>
      </c>
      <c r="F492" s="150" t="s">
        <v>118</v>
      </c>
    </row>
    <row r="493" spans="1:6">
      <c r="A493" s="150">
        <v>492</v>
      </c>
      <c r="B493" s="150" t="s">
        <v>110</v>
      </c>
      <c r="C493" s="150">
        <v>10</v>
      </c>
      <c r="D493" s="151" t="s">
        <v>250</v>
      </c>
      <c r="E493" s="151" t="s">
        <v>142</v>
      </c>
      <c r="F493" s="150" t="s">
        <v>234</v>
      </c>
    </row>
    <row r="494" spans="1:6">
      <c r="A494" s="150">
        <v>493</v>
      </c>
      <c r="B494" s="150" t="s">
        <v>110</v>
      </c>
      <c r="C494" s="150">
        <v>11</v>
      </c>
      <c r="D494" s="151" t="s">
        <v>250</v>
      </c>
      <c r="E494" s="151" t="s">
        <v>145</v>
      </c>
      <c r="F494" s="150" t="s">
        <v>227</v>
      </c>
    </row>
    <row r="495" spans="1:6">
      <c r="A495" s="150">
        <v>494</v>
      </c>
      <c r="B495" s="150" t="s">
        <v>110</v>
      </c>
      <c r="C495" s="150">
        <v>11</v>
      </c>
      <c r="D495" s="151" t="s">
        <v>250</v>
      </c>
      <c r="E495" s="151" t="s">
        <v>148</v>
      </c>
      <c r="F495" s="150" t="s">
        <v>200</v>
      </c>
    </row>
    <row r="496" spans="1:6">
      <c r="A496" s="150">
        <v>495</v>
      </c>
      <c r="B496" s="150" t="s">
        <v>110</v>
      </c>
      <c r="C496" s="150">
        <v>10</v>
      </c>
      <c r="D496" s="151" t="s">
        <v>250</v>
      </c>
      <c r="E496" s="151" t="s">
        <v>201</v>
      </c>
      <c r="F496" s="150" t="s">
        <v>202</v>
      </c>
    </row>
    <row r="497" spans="1:12">
      <c r="A497" s="150">
        <v>496</v>
      </c>
      <c r="B497" s="150" t="s">
        <v>109</v>
      </c>
      <c r="C497" s="150">
        <v>1</v>
      </c>
      <c r="D497" s="151" t="s">
        <v>250</v>
      </c>
      <c r="E497" s="151" t="s">
        <v>149</v>
      </c>
      <c r="F497" s="150" t="s">
        <v>157</v>
      </c>
      <c r="K497" s="152"/>
      <c r="L497" s="152"/>
    </row>
    <row r="498" spans="1:12">
      <c r="A498" s="150">
        <v>497</v>
      </c>
      <c r="B498" s="150" t="s">
        <v>111</v>
      </c>
      <c r="C498" s="150">
        <v>6</v>
      </c>
      <c r="D498" s="151" t="s">
        <v>250</v>
      </c>
      <c r="E498" s="151" t="s">
        <v>155</v>
      </c>
      <c r="F498" s="150" t="s">
        <v>153</v>
      </c>
    </row>
    <row r="499" spans="1:12">
      <c r="A499" s="150">
        <v>498</v>
      </c>
      <c r="B499" s="150" t="s">
        <v>191</v>
      </c>
      <c r="C499" s="150">
        <v>1</v>
      </c>
      <c r="D499" s="151" t="s">
        <v>250</v>
      </c>
      <c r="E499" s="151" t="s">
        <v>151</v>
      </c>
      <c r="F499" s="150" t="s">
        <v>177</v>
      </c>
      <c r="K499" s="152"/>
      <c r="L499" s="152"/>
    </row>
    <row r="500" spans="1:12">
      <c r="A500" s="150">
        <v>499</v>
      </c>
      <c r="B500" s="150" t="s">
        <v>110</v>
      </c>
      <c r="C500" s="150">
        <v>12</v>
      </c>
      <c r="D500" s="151" t="s">
        <v>250</v>
      </c>
      <c r="E500" s="151" t="s">
        <v>152</v>
      </c>
      <c r="F500" s="150" t="s">
        <v>143</v>
      </c>
    </row>
    <row r="501" spans="1:12">
      <c r="A501" s="150">
        <v>500</v>
      </c>
      <c r="B501" s="150" t="s">
        <v>110</v>
      </c>
      <c r="C501" s="150">
        <v>9</v>
      </c>
      <c r="D501" s="151" t="s">
        <v>250</v>
      </c>
      <c r="E501" s="151" t="s">
        <v>233</v>
      </c>
      <c r="F501" s="150" t="s">
        <v>166</v>
      </c>
    </row>
    <row r="502" spans="1:12">
      <c r="A502" s="150">
        <v>501</v>
      </c>
      <c r="B502" s="150" t="s">
        <v>111</v>
      </c>
      <c r="C502" s="150">
        <v>5</v>
      </c>
      <c r="D502" s="151" t="s">
        <v>250</v>
      </c>
      <c r="E502" s="151" t="s">
        <v>154</v>
      </c>
      <c r="F502" s="150" t="s">
        <v>141</v>
      </c>
    </row>
    <row r="503" spans="1:12">
      <c r="A503" s="150">
        <v>502</v>
      </c>
      <c r="B503" s="150" t="s">
        <v>110</v>
      </c>
      <c r="C503" s="150">
        <v>12</v>
      </c>
      <c r="D503" s="151" t="s">
        <v>250</v>
      </c>
      <c r="E503" s="151" t="s">
        <v>224</v>
      </c>
      <c r="F503" s="150" t="s">
        <v>146</v>
      </c>
    </row>
    <row r="504" spans="1:12">
      <c r="A504" s="150">
        <v>503</v>
      </c>
      <c r="B504" s="150" t="s">
        <v>109</v>
      </c>
      <c r="C504" s="150">
        <v>2</v>
      </c>
      <c r="D504" s="151" t="s">
        <v>250</v>
      </c>
      <c r="E504" s="151" t="s">
        <v>150</v>
      </c>
      <c r="F504" s="150" t="s">
        <v>182</v>
      </c>
    </row>
    <row r="505" spans="1:12">
      <c r="A505" s="150">
        <v>504</v>
      </c>
      <c r="B505" s="150" t="s">
        <v>111</v>
      </c>
      <c r="C505" s="150">
        <v>5</v>
      </c>
      <c r="D505" s="151" t="s">
        <v>250</v>
      </c>
      <c r="E505" s="151" t="s">
        <v>156</v>
      </c>
      <c r="F505" s="150" t="s">
        <v>175</v>
      </c>
    </row>
    <row r="506" spans="1:12">
      <c r="A506" s="150">
        <v>505</v>
      </c>
      <c r="B506" s="150" t="s">
        <v>110</v>
      </c>
      <c r="C506" s="150">
        <v>6</v>
      </c>
      <c r="D506" s="151" t="s">
        <v>250</v>
      </c>
      <c r="E506" s="151" t="s">
        <v>206</v>
      </c>
      <c r="F506" s="150" t="s">
        <v>195</v>
      </c>
    </row>
    <row r="507" spans="1:12">
      <c r="A507" s="150">
        <v>506</v>
      </c>
      <c r="B507" s="150" t="s">
        <v>110</v>
      </c>
      <c r="C507" s="150">
        <v>5</v>
      </c>
      <c r="D507" s="151" t="s">
        <v>250</v>
      </c>
      <c r="E507" s="151" t="s">
        <v>231</v>
      </c>
      <c r="F507" s="150" t="s">
        <v>173</v>
      </c>
    </row>
    <row r="508" spans="1:12">
      <c r="A508" s="150">
        <v>507</v>
      </c>
      <c r="B508" s="150" t="s">
        <v>110</v>
      </c>
      <c r="C508" s="150">
        <v>5</v>
      </c>
      <c r="D508" s="151" t="s">
        <v>250</v>
      </c>
      <c r="E508" s="151" t="s">
        <v>171</v>
      </c>
      <c r="F508" s="150" t="s">
        <v>235</v>
      </c>
    </row>
    <row r="509" spans="1:12">
      <c r="A509" s="150">
        <v>508</v>
      </c>
      <c r="B509" s="150" t="s">
        <v>110</v>
      </c>
      <c r="C509" s="150">
        <v>5</v>
      </c>
      <c r="D509" s="151" t="s">
        <v>250</v>
      </c>
      <c r="E509" s="151" t="s">
        <v>209</v>
      </c>
      <c r="F509" s="150" t="s">
        <v>232</v>
      </c>
    </row>
    <row r="510" spans="1:12">
      <c r="A510" s="150">
        <v>509</v>
      </c>
      <c r="B510" s="150" t="s">
        <v>191</v>
      </c>
      <c r="C510" s="150">
        <v>1</v>
      </c>
      <c r="D510" s="151" t="s">
        <v>250</v>
      </c>
      <c r="E510" s="151" t="s">
        <v>135</v>
      </c>
      <c r="F510" s="150" t="s">
        <v>139</v>
      </c>
    </row>
    <row r="511" spans="1:12">
      <c r="A511" s="150">
        <v>510</v>
      </c>
      <c r="B511" s="150" t="s">
        <v>111</v>
      </c>
      <c r="C511" s="150">
        <v>3</v>
      </c>
      <c r="D511" s="151" t="s">
        <v>250</v>
      </c>
      <c r="E511" s="151" t="s">
        <v>169</v>
      </c>
      <c r="F511" s="150" t="s">
        <v>204</v>
      </c>
    </row>
    <row r="512" spans="1:12">
      <c r="A512" s="150">
        <v>511</v>
      </c>
      <c r="B512" s="150" t="s">
        <v>110</v>
      </c>
      <c r="C512" s="150">
        <v>9</v>
      </c>
      <c r="D512" s="151" t="s">
        <v>250</v>
      </c>
      <c r="E512" s="151" t="s">
        <v>167</v>
      </c>
      <c r="F512" s="150" t="s">
        <v>158</v>
      </c>
    </row>
    <row r="513" spans="1:12">
      <c r="A513" s="150">
        <v>512</v>
      </c>
      <c r="B513" s="150" t="s">
        <v>111</v>
      </c>
      <c r="C513" s="150">
        <v>4</v>
      </c>
      <c r="D513" s="151" t="s">
        <v>250</v>
      </c>
      <c r="E513" s="151" t="s">
        <v>160</v>
      </c>
      <c r="F513" s="150" t="s">
        <v>162</v>
      </c>
    </row>
    <row r="514" spans="1:12">
      <c r="A514" s="150">
        <v>513</v>
      </c>
      <c r="B514" s="150" t="s">
        <v>110</v>
      </c>
      <c r="C514" s="150">
        <v>12</v>
      </c>
      <c r="D514" s="151" t="s">
        <v>250</v>
      </c>
      <c r="E514" s="151" t="s">
        <v>225</v>
      </c>
      <c r="F514" s="150" t="s">
        <v>221</v>
      </c>
    </row>
    <row r="515" spans="1:12">
      <c r="A515" s="150">
        <v>514</v>
      </c>
      <c r="B515" s="150" t="s">
        <v>111</v>
      </c>
      <c r="C515" s="150">
        <v>6</v>
      </c>
      <c r="D515" s="151" t="s">
        <v>250</v>
      </c>
      <c r="E515" s="151" t="s">
        <v>144</v>
      </c>
      <c r="F515" s="150" t="s">
        <v>159</v>
      </c>
    </row>
    <row r="516" spans="1:12">
      <c r="A516" s="150">
        <v>515</v>
      </c>
      <c r="B516" s="150" t="s">
        <v>111</v>
      </c>
      <c r="C516" s="150">
        <v>4</v>
      </c>
      <c r="D516" s="151" t="s">
        <v>250</v>
      </c>
      <c r="E516" s="151" t="s">
        <v>124</v>
      </c>
      <c r="F516" s="150" t="s">
        <v>123</v>
      </c>
    </row>
    <row r="517" spans="1:12">
      <c r="A517" s="150">
        <v>516</v>
      </c>
      <c r="B517" s="150" t="s">
        <v>110</v>
      </c>
      <c r="C517" s="150">
        <v>4</v>
      </c>
      <c r="D517" s="151" t="s">
        <v>250</v>
      </c>
      <c r="E517" s="151" t="s">
        <v>170</v>
      </c>
      <c r="F517" s="150" t="s">
        <v>236</v>
      </c>
    </row>
    <row r="518" spans="1:12">
      <c r="A518" s="150">
        <v>517</v>
      </c>
      <c r="B518" s="150" t="s">
        <v>111</v>
      </c>
      <c r="C518" s="150">
        <v>3</v>
      </c>
      <c r="D518" s="151" t="s">
        <v>250</v>
      </c>
      <c r="E518" s="151" t="s">
        <v>174</v>
      </c>
      <c r="F518" s="150" t="s">
        <v>190</v>
      </c>
    </row>
    <row r="519" spans="1:12">
      <c r="A519" s="150">
        <v>518</v>
      </c>
      <c r="B519" s="150" t="s">
        <v>191</v>
      </c>
      <c r="C519" s="150">
        <v>1</v>
      </c>
      <c r="D519" s="151" t="s">
        <v>250</v>
      </c>
      <c r="E519" s="151" t="s">
        <v>176</v>
      </c>
      <c r="F519" s="150" t="s">
        <v>98</v>
      </c>
      <c r="G519" s="153"/>
      <c r="H519" s="153"/>
      <c r="K519" s="152"/>
      <c r="L519" s="152"/>
    </row>
    <row r="520" spans="1:12">
      <c r="A520" s="150">
        <v>519</v>
      </c>
      <c r="B520" s="150" t="s">
        <v>111</v>
      </c>
      <c r="C520" s="150">
        <v>2</v>
      </c>
      <c r="D520" s="151" t="s">
        <v>250</v>
      </c>
      <c r="E520" s="151" t="s">
        <v>178</v>
      </c>
      <c r="F520" s="150" t="s">
        <v>119</v>
      </c>
    </row>
    <row r="521" spans="1:12">
      <c r="A521" s="150">
        <v>520</v>
      </c>
      <c r="B521" s="150" t="s">
        <v>110</v>
      </c>
      <c r="C521" s="150">
        <v>4</v>
      </c>
      <c r="D521" s="151" t="s">
        <v>250</v>
      </c>
      <c r="E521" s="151" t="s">
        <v>238</v>
      </c>
      <c r="F521" s="150" t="s">
        <v>172</v>
      </c>
    </row>
    <row r="522" spans="1:12">
      <c r="A522" s="150">
        <v>521</v>
      </c>
      <c r="B522" s="150" t="s">
        <v>110</v>
      </c>
      <c r="C522" s="150">
        <v>3</v>
      </c>
      <c r="D522" s="151" t="s">
        <v>250</v>
      </c>
      <c r="E522" s="151" t="s">
        <v>239</v>
      </c>
      <c r="F522" s="150" t="s">
        <v>117</v>
      </c>
    </row>
    <row r="523" spans="1:12">
      <c r="A523" s="150">
        <v>522</v>
      </c>
      <c r="B523" s="150" t="s">
        <v>110</v>
      </c>
      <c r="C523" s="150">
        <v>4</v>
      </c>
      <c r="D523" s="151" t="s">
        <v>250</v>
      </c>
      <c r="E523" s="151" t="s">
        <v>210</v>
      </c>
      <c r="F523" s="150" t="s">
        <v>180</v>
      </c>
    </row>
    <row r="524" spans="1:12">
      <c r="A524" s="150">
        <v>523</v>
      </c>
      <c r="B524" s="150" t="s">
        <v>110</v>
      </c>
      <c r="C524" s="150">
        <v>8</v>
      </c>
      <c r="D524" s="151" t="s">
        <v>250</v>
      </c>
      <c r="E524" s="151" t="s">
        <v>211</v>
      </c>
      <c r="F524" s="150" t="s">
        <v>194</v>
      </c>
    </row>
    <row r="525" spans="1:12">
      <c r="A525" s="150">
        <v>524</v>
      </c>
      <c r="B525" s="150" t="s">
        <v>109</v>
      </c>
      <c r="C525" s="150">
        <v>1</v>
      </c>
      <c r="D525" s="151" t="s">
        <v>250</v>
      </c>
      <c r="E525" s="151" t="s">
        <v>97</v>
      </c>
      <c r="F525" s="150" t="s">
        <v>199</v>
      </c>
      <c r="G525" s="153"/>
      <c r="H525" s="153"/>
      <c r="K525" s="152"/>
      <c r="L525" s="152"/>
    </row>
    <row r="526" spans="1:12">
      <c r="A526" s="150">
        <v>525</v>
      </c>
      <c r="B526" s="150" t="s">
        <v>110</v>
      </c>
      <c r="C526" s="150">
        <v>7</v>
      </c>
      <c r="D526" s="151" t="s">
        <v>250</v>
      </c>
      <c r="E526" s="151" t="s">
        <v>213</v>
      </c>
      <c r="F526" s="150" t="s">
        <v>184</v>
      </c>
      <c r="K526" s="152"/>
      <c r="L526" s="152"/>
    </row>
    <row r="527" spans="1:12">
      <c r="A527" s="150">
        <v>526</v>
      </c>
      <c r="B527" s="150" t="s">
        <v>111</v>
      </c>
      <c r="C527" s="150">
        <v>3</v>
      </c>
      <c r="D527" s="151" t="s">
        <v>250</v>
      </c>
      <c r="E527" s="151" t="s">
        <v>181</v>
      </c>
      <c r="F527" s="150" t="s">
        <v>205</v>
      </c>
      <c r="G527" s="153"/>
      <c r="H527" s="153"/>
      <c r="K527" s="152"/>
      <c r="L527" s="152"/>
    </row>
    <row r="528" spans="1:12">
      <c r="A528" s="150">
        <v>527</v>
      </c>
      <c r="B528" s="150" t="s">
        <v>110</v>
      </c>
      <c r="C528" s="150">
        <v>8</v>
      </c>
      <c r="D528" s="151" t="s">
        <v>250</v>
      </c>
      <c r="E528" s="151" t="s">
        <v>242</v>
      </c>
      <c r="F528" s="150" t="s">
        <v>217</v>
      </c>
      <c r="K528" s="152"/>
      <c r="L528" s="152"/>
    </row>
    <row r="529" spans="1:12">
      <c r="A529" s="150">
        <v>528</v>
      </c>
      <c r="B529" s="150" t="s">
        <v>110</v>
      </c>
      <c r="C529" s="150">
        <v>9</v>
      </c>
      <c r="D529" s="151" t="s">
        <v>250</v>
      </c>
      <c r="E529" s="151" t="s">
        <v>228</v>
      </c>
      <c r="F529" s="150" t="s">
        <v>241</v>
      </c>
      <c r="K529" s="152"/>
      <c r="L529" s="152"/>
    </row>
    <row r="530" spans="1:12">
      <c r="A530" s="150">
        <v>529</v>
      </c>
      <c r="B530" s="150" t="s">
        <v>110</v>
      </c>
      <c r="C530" s="150">
        <v>3</v>
      </c>
      <c r="D530" s="151" t="s">
        <v>251</v>
      </c>
      <c r="E530" s="151" t="s">
        <v>240</v>
      </c>
      <c r="F530" s="150" t="s">
        <v>117</v>
      </c>
    </row>
    <row r="531" spans="1:12">
      <c r="A531" s="150">
        <v>530</v>
      </c>
      <c r="B531" s="150" t="s">
        <v>110</v>
      </c>
      <c r="C531" s="150">
        <v>2</v>
      </c>
      <c r="D531" s="151" t="s">
        <v>251</v>
      </c>
      <c r="E531" s="151" t="s">
        <v>186</v>
      </c>
      <c r="F531" s="150" t="s">
        <v>187</v>
      </c>
    </row>
    <row r="532" spans="1:12">
      <c r="A532" s="150">
        <v>531</v>
      </c>
      <c r="B532" s="150" t="s">
        <v>111</v>
      </c>
      <c r="C532" s="150">
        <v>2</v>
      </c>
      <c r="D532" s="151" t="s">
        <v>251</v>
      </c>
      <c r="E532" s="151" t="s">
        <v>120</v>
      </c>
      <c r="F532" s="150" t="s">
        <v>119</v>
      </c>
    </row>
    <row r="533" spans="1:12">
      <c r="A533" s="150">
        <v>532</v>
      </c>
      <c r="B533" s="150" t="s">
        <v>111</v>
      </c>
      <c r="C533" s="150">
        <v>2</v>
      </c>
      <c r="D533" s="151" t="s">
        <v>251</v>
      </c>
      <c r="E533" s="151" t="s">
        <v>114</v>
      </c>
      <c r="F533" s="150" t="s">
        <v>178</v>
      </c>
    </row>
    <row r="534" spans="1:12">
      <c r="A534" s="150">
        <v>533</v>
      </c>
      <c r="B534" s="150" t="s">
        <v>110</v>
      </c>
      <c r="C534" s="150">
        <v>3</v>
      </c>
      <c r="D534" s="151" t="s">
        <v>251</v>
      </c>
      <c r="E534" s="151" t="s">
        <v>192</v>
      </c>
      <c r="F534" s="150" t="s">
        <v>237</v>
      </c>
    </row>
    <row r="535" spans="1:12">
      <c r="A535" s="150">
        <v>534</v>
      </c>
      <c r="B535" s="150" t="s">
        <v>110</v>
      </c>
      <c r="C535" s="150">
        <v>3</v>
      </c>
      <c r="D535" s="151" t="s">
        <v>251</v>
      </c>
      <c r="E535" s="151" t="s">
        <v>121</v>
      </c>
      <c r="F535" s="150" t="s">
        <v>239</v>
      </c>
    </row>
    <row r="536" spans="1:12">
      <c r="A536" s="150">
        <v>535</v>
      </c>
      <c r="B536" s="150" t="s">
        <v>110</v>
      </c>
      <c r="C536" s="150">
        <v>2</v>
      </c>
      <c r="D536" s="151" t="s">
        <v>251</v>
      </c>
      <c r="E536" s="151" t="s">
        <v>112</v>
      </c>
      <c r="F536" s="150" t="s">
        <v>189</v>
      </c>
    </row>
    <row r="537" spans="1:12">
      <c r="A537" s="150">
        <v>536</v>
      </c>
      <c r="B537" s="150" t="s">
        <v>110</v>
      </c>
      <c r="C537" s="150">
        <v>7</v>
      </c>
      <c r="D537" s="151" t="s">
        <v>251</v>
      </c>
      <c r="E537" s="151" t="s">
        <v>207</v>
      </c>
      <c r="F537" s="150" t="s">
        <v>213</v>
      </c>
    </row>
    <row r="538" spans="1:12">
      <c r="A538" s="150">
        <v>537</v>
      </c>
      <c r="B538" s="150" t="s">
        <v>111</v>
      </c>
      <c r="C538" s="150">
        <v>4</v>
      </c>
      <c r="D538" s="151" t="s">
        <v>251</v>
      </c>
      <c r="E538" s="151" t="s">
        <v>193</v>
      </c>
      <c r="F538" s="150" t="s">
        <v>124</v>
      </c>
    </row>
    <row r="539" spans="1:12">
      <c r="A539" s="150">
        <v>538</v>
      </c>
      <c r="B539" s="150" t="s">
        <v>110</v>
      </c>
      <c r="C539" s="150">
        <v>7</v>
      </c>
      <c r="D539" s="151" t="s">
        <v>251</v>
      </c>
      <c r="E539" s="151" t="s">
        <v>125</v>
      </c>
      <c r="F539" s="150" t="s">
        <v>212</v>
      </c>
    </row>
    <row r="540" spans="1:12">
      <c r="A540" s="150">
        <v>539</v>
      </c>
      <c r="B540" s="150" t="s">
        <v>109</v>
      </c>
      <c r="C540" s="150">
        <v>2</v>
      </c>
      <c r="D540" s="151" t="s">
        <v>251</v>
      </c>
      <c r="E540" s="151" t="s">
        <v>182</v>
      </c>
      <c r="F540" s="150" t="s">
        <v>198</v>
      </c>
    </row>
    <row r="541" spans="1:12">
      <c r="A541" s="150">
        <v>540</v>
      </c>
      <c r="B541" s="150" t="s">
        <v>110</v>
      </c>
      <c r="C541" s="150">
        <v>8</v>
      </c>
      <c r="D541" s="151" t="s">
        <v>251</v>
      </c>
      <c r="E541" s="151" t="s">
        <v>194</v>
      </c>
      <c r="F541" s="150" t="s">
        <v>242</v>
      </c>
    </row>
    <row r="542" spans="1:12">
      <c r="A542" s="150">
        <v>541</v>
      </c>
      <c r="B542" s="150" t="s">
        <v>110</v>
      </c>
      <c r="C542" s="150">
        <v>8</v>
      </c>
      <c r="D542" s="151" t="s">
        <v>251</v>
      </c>
      <c r="E542" s="151" t="s">
        <v>208</v>
      </c>
      <c r="F542" s="150" t="s">
        <v>217</v>
      </c>
    </row>
    <row r="543" spans="1:12">
      <c r="A543" s="150">
        <v>542</v>
      </c>
      <c r="B543" s="150" t="s">
        <v>109</v>
      </c>
      <c r="C543" s="150">
        <v>2</v>
      </c>
      <c r="D543" s="151" t="s">
        <v>251</v>
      </c>
      <c r="E543" s="151" t="s">
        <v>129</v>
      </c>
      <c r="F543" s="150" t="s">
        <v>150</v>
      </c>
    </row>
    <row r="544" spans="1:12">
      <c r="A544" s="150">
        <v>543</v>
      </c>
      <c r="B544" s="150" t="s">
        <v>110</v>
      </c>
      <c r="C544" s="150">
        <v>6</v>
      </c>
      <c r="D544" s="151" t="s">
        <v>251</v>
      </c>
      <c r="E544" s="151" t="s">
        <v>230</v>
      </c>
      <c r="F544" s="150" t="s">
        <v>188</v>
      </c>
    </row>
    <row r="545" spans="1:12">
      <c r="A545" s="150">
        <v>544</v>
      </c>
      <c r="B545" s="150" t="s">
        <v>111</v>
      </c>
      <c r="C545" s="150">
        <v>5</v>
      </c>
      <c r="D545" s="151" t="s">
        <v>251</v>
      </c>
      <c r="E545" s="151" t="s">
        <v>175</v>
      </c>
      <c r="F545" s="150" t="s">
        <v>154</v>
      </c>
      <c r="G545" s="153"/>
      <c r="H545" s="153"/>
      <c r="K545" s="152"/>
      <c r="L545" s="152"/>
    </row>
    <row r="546" spans="1:12">
      <c r="A546" s="150">
        <v>545</v>
      </c>
      <c r="B546" s="150" t="s">
        <v>109</v>
      </c>
      <c r="C546" s="150">
        <v>1</v>
      </c>
      <c r="D546" s="151" t="s">
        <v>251</v>
      </c>
      <c r="E546" s="151" t="s">
        <v>113</v>
      </c>
      <c r="F546" s="150" t="s">
        <v>157</v>
      </c>
    </row>
    <row r="547" spans="1:12">
      <c r="A547" s="150">
        <v>546</v>
      </c>
      <c r="B547" s="150" t="s">
        <v>110</v>
      </c>
      <c r="C547" s="150">
        <v>6</v>
      </c>
      <c r="D547" s="151" t="s">
        <v>251</v>
      </c>
      <c r="E547" s="151" t="s">
        <v>229</v>
      </c>
      <c r="F547" s="150" t="s">
        <v>195</v>
      </c>
    </row>
    <row r="548" spans="1:12">
      <c r="A548" s="150">
        <v>547</v>
      </c>
      <c r="B548" s="150" t="s">
        <v>110</v>
      </c>
      <c r="C548" s="150">
        <v>2</v>
      </c>
      <c r="D548" s="151" t="s">
        <v>251</v>
      </c>
      <c r="E548" s="151" t="s">
        <v>215</v>
      </c>
      <c r="F548" s="150" t="s">
        <v>122</v>
      </c>
    </row>
    <row r="549" spans="1:12">
      <c r="A549" s="150">
        <v>548</v>
      </c>
      <c r="B549" s="150" t="s">
        <v>110</v>
      </c>
      <c r="C549" s="150">
        <v>1</v>
      </c>
      <c r="D549" s="151" t="s">
        <v>251</v>
      </c>
      <c r="E549" s="151" t="s">
        <v>219</v>
      </c>
      <c r="F549" s="150" t="s">
        <v>138</v>
      </c>
    </row>
    <row r="550" spans="1:12">
      <c r="A550" s="150">
        <v>549</v>
      </c>
      <c r="B550" s="150" t="s">
        <v>111</v>
      </c>
      <c r="C550" s="150">
        <v>1</v>
      </c>
      <c r="D550" s="151" t="s">
        <v>251</v>
      </c>
      <c r="E550" s="151" t="s">
        <v>137</v>
      </c>
      <c r="F550" s="150" t="s">
        <v>218</v>
      </c>
    </row>
    <row r="551" spans="1:12">
      <c r="A551" s="150">
        <v>550</v>
      </c>
      <c r="B551" s="150" t="s">
        <v>191</v>
      </c>
      <c r="C551" s="150">
        <v>1</v>
      </c>
      <c r="D551" s="151" t="s">
        <v>251</v>
      </c>
      <c r="E551" s="151" t="s">
        <v>177</v>
      </c>
      <c r="F551" s="150" t="s">
        <v>135</v>
      </c>
    </row>
    <row r="552" spans="1:12">
      <c r="A552" s="150">
        <v>551</v>
      </c>
      <c r="B552" s="150" t="s">
        <v>111</v>
      </c>
      <c r="C552" s="150">
        <v>1</v>
      </c>
      <c r="D552" s="151" t="s">
        <v>251</v>
      </c>
      <c r="E552" s="151" t="s">
        <v>115</v>
      </c>
      <c r="F552" s="150" t="s">
        <v>133</v>
      </c>
    </row>
    <row r="553" spans="1:12">
      <c r="A553" s="150">
        <v>552</v>
      </c>
      <c r="B553" s="150" t="s">
        <v>110</v>
      </c>
      <c r="C553" s="150">
        <v>1</v>
      </c>
      <c r="D553" s="151" t="s">
        <v>251</v>
      </c>
      <c r="E553" s="151" t="s">
        <v>196</v>
      </c>
      <c r="F553" s="150" t="s">
        <v>130</v>
      </c>
    </row>
    <row r="554" spans="1:12">
      <c r="A554" s="150">
        <v>553</v>
      </c>
      <c r="B554" s="150" t="s">
        <v>109</v>
      </c>
      <c r="C554" s="150">
        <v>2</v>
      </c>
      <c r="D554" s="151" t="s">
        <v>251</v>
      </c>
      <c r="E554" s="151" t="s">
        <v>220</v>
      </c>
      <c r="F554" s="150" t="s">
        <v>118</v>
      </c>
    </row>
    <row r="555" spans="1:12">
      <c r="A555" s="150">
        <v>554</v>
      </c>
      <c r="B555" s="150" t="s">
        <v>110</v>
      </c>
      <c r="C555" s="150">
        <v>1</v>
      </c>
      <c r="D555" s="151" t="s">
        <v>251</v>
      </c>
      <c r="E555" s="151" t="s">
        <v>131</v>
      </c>
      <c r="F555" s="150" t="s">
        <v>197</v>
      </c>
    </row>
    <row r="556" spans="1:12">
      <c r="A556" s="150">
        <v>555</v>
      </c>
      <c r="B556" s="150" t="s">
        <v>111</v>
      </c>
      <c r="C556" s="150">
        <v>1</v>
      </c>
      <c r="D556" s="151" t="s">
        <v>251</v>
      </c>
      <c r="E556" s="151" t="s">
        <v>132</v>
      </c>
      <c r="F556" s="150" t="s">
        <v>136</v>
      </c>
    </row>
    <row r="557" spans="1:12">
      <c r="A557" s="150">
        <v>556</v>
      </c>
      <c r="B557" s="150" t="s">
        <v>110</v>
      </c>
      <c r="C557" s="150">
        <v>10</v>
      </c>
      <c r="D557" s="151" t="s">
        <v>251</v>
      </c>
      <c r="E557" s="151" t="s">
        <v>222</v>
      </c>
      <c r="F557" s="150" t="s">
        <v>234</v>
      </c>
    </row>
    <row r="558" spans="1:12">
      <c r="A558" s="150">
        <v>557</v>
      </c>
      <c r="B558" s="150" t="s">
        <v>191</v>
      </c>
      <c r="C558" s="150">
        <v>2</v>
      </c>
      <c r="D558" s="151" t="s">
        <v>251</v>
      </c>
      <c r="E558" s="151" t="s">
        <v>92</v>
      </c>
      <c r="F558" s="150" t="s">
        <v>164</v>
      </c>
    </row>
    <row r="559" spans="1:12">
      <c r="A559" s="150">
        <v>558</v>
      </c>
      <c r="B559" s="150" t="s">
        <v>110</v>
      </c>
      <c r="C559" s="150">
        <v>11</v>
      </c>
      <c r="D559" s="151" t="s">
        <v>251</v>
      </c>
      <c r="E559" s="151" t="s">
        <v>223</v>
      </c>
      <c r="F559" s="150" t="s">
        <v>227</v>
      </c>
    </row>
    <row r="560" spans="1:12">
      <c r="A560" s="150">
        <v>559</v>
      </c>
      <c r="B560" s="150" t="s">
        <v>111</v>
      </c>
      <c r="C560" s="150">
        <v>6</v>
      </c>
      <c r="D560" s="151" t="s">
        <v>251</v>
      </c>
      <c r="E560" s="151" t="s">
        <v>96</v>
      </c>
      <c r="F560" s="150" t="s">
        <v>144</v>
      </c>
    </row>
    <row r="561" spans="1:12">
      <c r="A561" s="150">
        <v>560</v>
      </c>
      <c r="B561" s="150" t="s">
        <v>191</v>
      </c>
      <c r="C561" s="150">
        <v>1</v>
      </c>
      <c r="D561" s="151" t="s">
        <v>251</v>
      </c>
      <c r="E561" s="151" t="s">
        <v>139</v>
      </c>
      <c r="F561" s="150" t="s">
        <v>176</v>
      </c>
    </row>
    <row r="562" spans="1:12">
      <c r="A562" s="150">
        <v>561</v>
      </c>
      <c r="B562" s="150" t="s">
        <v>111</v>
      </c>
      <c r="C562" s="150">
        <v>5</v>
      </c>
      <c r="D562" s="151" t="s">
        <v>251</v>
      </c>
      <c r="E562" s="151" t="s">
        <v>141</v>
      </c>
      <c r="F562" s="150" t="s">
        <v>127</v>
      </c>
    </row>
    <row r="563" spans="1:12">
      <c r="A563" s="150">
        <v>562</v>
      </c>
      <c r="B563" s="150" t="s">
        <v>110</v>
      </c>
      <c r="C563" s="150">
        <v>12</v>
      </c>
      <c r="D563" s="151" t="s">
        <v>251</v>
      </c>
      <c r="E563" s="151" t="s">
        <v>143</v>
      </c>
      <c r="F563" s="150" t="s">
        <v>224</v>
      </c>
    </row>
    <row r="564" spans="1:12">
      <c r="A564" s="150">
        <v>563</v>
      </c>
      <c r="B564" s="150" t="s">
        <v>109</v>
      </c>
      <c r="C564" s="150">
        <v>1</v>
      </c>
      <c r="D564" s="151" t="s">
        <v>251</v>
      </c>
      <c r="E564" s="151" t="s">
        <v>199</v>
      </c>
      <c r="F564" s="150" t="s">
        <v>149</v>
      </c>
    </row>
    <row r="565" spans="1:12">
      <c r="A565" s="150">
        <v>564</v>
      </c>
      <c r="B565" s="150" t="s">
        <v>110</v>
      </c>
      <c r="C565" s="150">
        <v>11</v>
      </c>
      <c r="D565" s="151" t="s">
        <v>251</v>
      </c>
      <c r="E565" s="151" t="s">
        <v>200</v>
      </c>
      <c r="F565" s="150" t="s">
        <v>145</v>
      </c>
    </row>
    <row r="566" spans="1:12">
      <c r="A566" s="150">
        <v>565</v>
      </c>
      <c r="B566" s="150" t="s">
        <v>111</v>
      </c>
      <c r="C566" s="150">
        <v>6</v>
      </c>
      <c r="D566" s="151" t="s">
        <v>251</v>
      </c>
      <c r="E566" s="151" t="s">
        <v>155</v>
      </c>
      <c r="F566" s="150" t="s">
        <v>159</v>
      </c>
    </row>
    <row r="567" spans="1:12">
      <c r="A567" s="150">
        <v>566</v>
      </c>
      <c r="B567" s="150" t="s">
        <v>191</v>
      </c>
      <c r="C567" s="150">
        <v>1</v>
      </c>
      <c r="D567" s="151" t="s">
        <v>251</v>
      </c>
      <c r="E567" s="151" t="s">
        <v>151</v>
      </c>
      <c r="F567" s="150" t="s">
        <v>98</v>
      </c>
    </row>
    <row r="568" spans="1:12">
      <c r="A568" s="150">
        <v>567</v>
      </c>
      <c r="B568" s="150" t="s">
        <v>111</v>
      </c>
      <c r="C568" s="150">
        <v>6</v>
      </c>
      <c r="D568" s="151" t="s">
        <v>251</v>
      </c>
      <c r="E568" s="151" t="s">
        <v>153</v>
      </c>
      <c r="F568" s="150" t="s">
        <v>147</v>
      </c>
    </row>
    <row r="569" spans="1:12">
      <c r="A569" s="150">
        <v>568</v>
      </c>
      <c r="B569" s="150" t="s">
        <v>110</v>
      </c>
      <c r="C569" s="150">
        <v>9</v>
      </c>
      <c r="D569" s="151" t="s">
        <v>251</v>
      </c>
      <c r="E569" s="151" t="s">
        <v>233</v>
      </c>
      <c r="F569" s="150" t="s">
        <v>158</v>
      </c>
    </row>
    <row r="570" spans="1:12">
      <c r="A570" s="150">
        <v>569</v>
      </c>
      <c r="B570" s="150" t="s">
        <v>110</v>
      </c>
      <c r="C570" s="150">
        <v>12</v>
      </c>
      <c r="D570" s="151" t="s">
        <v>251</v>
      </c>
      <c r="E570" s="151" t="s">
        <v>221</v>
      </c>
      <c r="F570" s="150" t="s">
        <v>152</v>
      </c>
    </row>
    <row r="571" spans="1:12">
      <c r="A571" s="150">
        <v>570</v>
      </c>
      <c r="B571" s="150" t="s">
        <v>110</v>
      </c>
      <c r="C571" s="150">
        <v>10</v>
      </c>
      <c r="D571" s="151" t="s">
        <v>251</v>
      </c>
      <c r="E571" s="151" t="s">
        <v>202</v>
      </c>
      <c r="F571" s="150" t="s">
        <v>142</v>
      </c>
    </row>
    <row r="572" spans="1:12">
      <c r="A572" s="150">
        <v>571</v>
      </c>
      <c r="B572" s="150" t="s">
        <v>111</v>
      </c>
      <c r="C572" s="150">
        <v>5</v>
      </c>
      <c r="D572" s="151" t="s">
        <v>251</v>
      </c>
      <c r="E572" s="151" t="s">
        <v>156</v>
      </c>
      <c r="F572" s="150" t="s">
        <v>161</v>
      </c>
      <c r="G572" s="153"/>
      <c r="H572" s="153"/>
      <c r="K572" s="152"/>
      <c r="L572" s="152"/>
    </row>
    <row r="573" spans="1:12">
      <c r="A573" s="150">
        <v>572</v>
      </c>
      <c r="B573" s="150" t="s">
        <v>111</v>
      </c>
      <c r="C573" s="150">
        <v>3</v>
      </c>
      <c r="D573" s="151" t="s">
        <v>251</v>
      </c>
      <c r="E573" s="151" t="s">
        <v>205</v>
      </c>
      <c r="F573" s="150" t="s">
        <v>169</v>
      </c>
    </row>
    <row r="574" spans="1:12">
      <c r="A574" s="150">
        <v>573</v>
      </c>
      <c r="B574" s="150" t="s">
        <v>191</v>
      </c>
      <c r="C574" s="150">
        <v>2</v>
      </c>
      <c r="D574" s="151" t="s">
        <v>251</v>
      </c>
      <c r="E574" s="151" t="s">
        <v>203</v>
      </c>
      <c r="F574" s="150" t="s">
        <v>134</v>
      </c>
      <c r="G574" s="153"/>
      <c r="H574" s="153"/>
      <c r="K574" s="152"/>
      <c r="L574" s="152"/>
    </row>
    <row r="575" spans="1:12">
      <c r="A575" s="150">
        <v>574</v>
      </c>
      <c r="B575" s="150" t="s">
        <v>111</v>
      </c>
      <c r="C575" s="150">
        <v>3</v>
      </c>
      <c r="D575" s="151" t="s">
        <v>251</v>
      </c>
      <c r="E575" s="151" t="s">
        <v>204</v>
      </c>
      <c r="F575" s="150" t="s">
        <v>174</v>
      </c>
    </row>
    <row r="576" spans="1:12">
      <c r="A576" s="150">
        <v>575</v>
      </c>
      <c r="B576" s="150" t="s">
        <v>110</v>
      </c>
      <c r="C576" s="150">
        <v>5</v>
      </c>
      <c r="D576" s="151" t="s">
        <v>251</v>
      </c>
      <c r="E576" s="151" t="s">
        <v>231</v>
      </c>
      <c r="F576" s="150" t="s">
        <v>235</v>
      </c>
    </row>
    <row r="577" spans="1:6">
      <c r="A577" s="150">
        <v>576</v>
      </c>
      <c r="B577" s="150" t="s">
        <v>110</v>
      </c>
      <c r="C577" s="150">
        <v>6</v>
      </c>
      <c r="D577" s="151" t="s">
        <v>251</v>
      </c>
      <c r="E577" s="151" t="s">
        <v>128</v>
      </c>
      <c r="F577" s="150" t="s">
        <v>206</v>
      </c>
    </row>
    <row r="578" spans="1:6">
      <c r="A578" s="150">
        <v>577</v>
      </c>
      <c r="B578" s="150" t="s">
        <v>110</v>
      </c>
      <c r="C578" s="150">
        <v>5</v>
      </c>
      <c r="D578" s="151" t="s">
        <v>251</v>
      </c>
      <c r="E578" s="151" t="s">
        <v>232</v>
      </c>
      <c r="F578" s="150" t="s">
        <v>171</v>
      </c>
    </row>
    <row r="579" spans="1:6">
      <c r="A579" s="150">
        <v>578</v>
      </c>
      <c r="B579" s="150" t="s">
        <v>111</v>
      </c>
      <c r="C579" s="150">
        <v>4</v>
      </c>
      <c r="D579" s="151" t="s">
        <v>251</v>
      </c>
      <c r="E579" s="151" t="s">
        <v>160</v>
      </c>
      <c r="F579" s="150" t="s">
        <v>123</v>
      </c>
    </row>
    <row r="580" spans="1:6">
      <c r="A580" s="150">
        <v>579</v>
      </c>
      <c r="B580" s="150" t="s">
        <v>110</v>
      </c>
      <c r="C580" s="150">
        <v>9</v>
      </c>
      <c r="D580" s="151" t="s">
        <v>251</v>
      </c>
      <c r="E580" s="151" t="s">
        <v>166</v>
      </c>
      <c r="F580" s="150" t="s">
        <v>228</v>
      </c>
    </row>
    <row r="581" spans="1:6">
      <c r="A581" s="150">
        <v>580</v>
      </c>
      <c r="B581" s="150" t="s">
        <v>110</v>
      </c>
      <c r="C581" s="150">
        <v>10</v>
      </c>
      <c r="D581" s="151" t="s">
        <v>251</v>
      </c>
      <c r="E581" s="151" t="s">
        <v>226</v>
      </c>
      <c r="F581" s="150" t="s">
        <v>201</v>
      </c>
    </row>
    <row r="582" spans="1:6">
      <c r="A582" s="150">
        <v>581</v>
      </c>
      <c r="B582" s="150" t="s">
        <v>110</v>
      </c>
      <c r="C582" s="150">
        <v>12</v>
      </c>
      <c r="D582" s="151" t="s">
        <v>251</v>
      </c>
      <c r="E582" s="151" t="s">
        <v>225</v>
      </c>
      <c r="F582" s="150" t="s">
        <v>146</v>
      </c>
    </row>
    <row r="583" spans="1:6">
      <c r="A583" s="150">
        <v>582</v>
      </c>
      <c r="B583" s="150" t="s">
        <v>111</v>
      </c>
      <c r="C583" s="150">
        <v>4</v>
      </c>
      <c r="D583" s="151" t="s">
        <v>251</v>
      </c>
      <c r="E583" s="151" t="s">
        <v>162</v>
      </c>
      <c r="F583" s="150" t="s">
        <v>126</v>
      </c>
    </row>
    <row r="584" spans="1:6">
      <c r="A584" s="150">
        <v>583</v>
      </c>
      <c r="B584" s="150" t="s">
        <v>109</v>
      </c>
      <c r="C584" s="150">
        <v>1</v>
      </c>
      <c r="D584" s="151" t="s">
        <v>251</v>
      </c>
      <c r="E584" s="151" t="s">
        <v>163</v>
      </c>
      <c r="F584" s="150" t="s">
        <v>97</v>
      </c>
    </row>
    <row r="585" spans="1:6">
      <c r="A585" s="150">
        <v>584</v>
      </c>
      <c r="B585" s="150" t="s">
        <v>110</v>
      </c>
      <c r="C585" s="150">
        <v>11</v>
      </c>
      <c r="D585" s="151" t="s">
        <v>251</v>
      </c>
      <c r="E585" s="151" t="s">
        <v>165</v>
      </c>
      <c r="F585" s="150" t="s">
        <v>148</v>
      </c>
    </row>
    <row r="586" spans="1:6">
      <c r="A586" s="150">
        <v>585</v>
      </c>
      <c r="B586" s="150" t="s">
        <v>110</v>
      </c>
      <c r="C586" s="150">
        <v>5</v>
      </c>
      <c r="D586" s="151" t="s">
        <v>251</v>
      </c>
      <c r="E586" s="151" t="s">
        <v>173</v>
      </c>
      <c r="F586" s="150" t="s">
        <v>209</v>
      </c>
    </row>
    <row r="587" spans="1:6">
      <c r="A587" s="150">
        <v>586</v>
      </c>
      <c r="B587" s="150" t="s">
        <v>110</v>
      </c>
      <c r="C587" s="150">
        <v>4</v>
      </c>
      <c r="D587" s="151" t="s">
        <v>251</v>
      </c>
      <c r="E587" s="151" t="s">
        <v>236</v>
      </c>
      <c r="F587" s="150" t="s">
        <v>238</v>
      </c>
    </row>
    <row r="588" spans="1:6">
      <c r="A588" s="150">
        <v>587</v>
      </c>
      <c r="B588" s="150" t="s">
        <v>191</v>
      </c>
      <c r="C588" s="150">
        <v>2</v>
      </c>
      <c r="D588" s="151" t="s">
        <v>251</v>
      </c>
      <c r="E588" s="151" t="s">
        <v>168</v>
      </c>
      <c r="F588" s="150" t="s">
        <v>140</v>
      </c>
    </row>
    <row r="589" spans="1:6">
      <c r="A589" s="150">
        <v>588</v>
      </c>
      <c r="B589" s="150" t="s">
        <v>110</v>
      </c>
      <c r="C589" s="150">
        <v>4</v>
      </c>
      <c r="D589" s="151" t="s">
        <v>251</v>
      </c>
      <c r="E589" s="151" t="s">
        <v>180</v>
      </c>
      <c r="F589" s="150" t="s">
        <v>170</v>
      </c>
    </row>
    <row r="590" spans="1:6">
      <c r="A590" s="150">
        <v>589</v>
      </c>
      <c r="B590" s="150" t="s">
        <v>111</v>
      </c>
      <c r="C590" s="150">
        <v>2</v>
      </c>
      <c r="D590" s="151" t="s">
        <v>251</v>
      </c>
      <c r="E590" s="151" t="s">
        <v>179</v>
      </c>
      <c r="F590" s="150" t="s">
        <v>116</v>
      </c>
    </row>
    <row r="591" spans="1:6">
      <c r="A591" s="150">
        <v>590</v>
      </c>
      <c r="B591" s="150" t="s">
        <v>110</v>
      </c>
      <c r="C591" s="150">
        <v>4</v>
      </c>
      <c r="D591" s="151" t="s">
        <v>251</v>
      </c>
      <c r="E591" s="151" t="s">
        <v>210</v>
      </c>
      <c r="F591" s="150" t="s">
        <v>172</v>
      </c>
    </row>
    <row r="592" spans="1:6">
      <c r="A592" s="150">
        <v>591</v>
      </c>
      <c r="B592" s="150" t="s">
        <v>111</v>
      </c>
      <c r="C592" s="150">
        <v>3</v>
      </c>
      <c r="D592" s="151" t="s">
        <v>251</v>
      </c>
      <c r="E592" s="151" t="s">
        <v>181</v>
      </c>
      <c r="F592" s="150" t="s">
        <v>190</v>
      </c>
    </row>
    <row r="593" spans="1:6">
      <c r="A593" s="150">
        <v>592</v>
      </c>
      <c r="B593" s="150" t="s">
        <v>110</v>
      </c>
      <c r="C593" s="150">
        <v>9</v>
      </c>
      <c r="D593" s="151" t="s">
        <v>251</v>
      </c>
      <c r="E593" s="151" t="s">
        <v>241</v>
      </c>
      <c r="F593" s="150" t="s">
        <v>167</v>
      </c>
    </row>
    <row r="594" spans="1:6">
      <c r="A594" s="150">
        <v>593</v>
      </c>
      <c r="B594" s="150" t="s">
        <v>110</v>
      </c>
      <c r="C594" s="150">
        <v>8</v>
      </c>
      <c r="D594" s="151" t="s">
        <v>251</v>
      </c>
      <c r="E594" s="151" t="s">
        <v>183</v>
      </c>
      <c r="F594" s="150" t="s">
        <v>211</v>
      </c>
    </row>
    <row r="595" spans="1:6">
      <c r="A595" s="150">
        <v>594</v>
      </c>
      <c r="B595" s="150" t="s">
        <v>110</v>
      </c>
      <c r="C595" s="150">
        <v>7</v>
      </c>
      <c r="D595" s="151" t="s">
        <v>251</v>
      </c>
      <c r="E595" s="151" t="s">
        <v>184</v>
      </c>
      <c r="F595" s="150" t="s">
        <v>216</v>
      </c>
    </row>
    <row r="596" spans="1:6">
      <c r="A596" s="150">
        <v>595</v>
      </c>
      <c r="B596" s="150" t="s">
        <v>110</v>
      </c>
      <c r="C596" s="150">
        <v>2</v>
      </c>
      <c r="D596" s="151" t="s">
        <v>252</v>
      </c>
      <c r="E596" s="151" t="s">
        <v>187</v>
      </c>
      <c r="F596" s="150" t="s">
        <v>215</v>
      </c>
    </row>
    <row r="597" spans="1:6">
      <c r="A597" s="150">
        <v>596</v>
      </c>
      <c r="B597" s="150" t="s">
        <v>110</v>
      </c>
      <c r="C597" s="150">
        <v>6</v>
      </c>
      <c r="D597" s="151" t="s">
        <v>252</v>
      </c>
      <c r="E597" s="151" t="s">
        <v>188</v>
      </c>
      <c r="F597" s="150" t="s">
        <v>229</v>
      </c>
    </row>
    <row r="598" spans="1:6">
      <c r="A598" s="150">
        <v>597</v>
      </c>
      <c r="B598" s="150" t="s">
        <v>111</v>
      </c>
      <c r="C598" s="150">
        <v>3</v>
      </c>
      <c r="D598" s="151" t="s">
        <v>252</v>
      </c>
      <c r="E598" s="151" t="s">
        <v>190</v>
      </c>
      <c r="F598" s="150" t="s">
        <v>204</v>
      </c>
    </row>
    <row r="599" spans="1:6">
      <c r="A599" s="150">
        <v>598</v>
      </c>
      <c r="B599" s="150" t="s">
        <v>111</v>
      </c>
      <c r="C599" s="150">
        <v>2</v>
      </c>
      <c r="D599" s="151" t="s">
        <v>252</v>
      </c>
      <c r="E599" s="151" t="s">
        <v>116</v>
      </c>
      <c r="F599" s="150" t="s">
        <v>120</v>
      </c>
    </row>
    <row r="600" spans="1:6">
      <c r="A600" s="150">
        <v>599</v>
      </c>
      <c r="B600" s="150" t="s">
        <v>110</v>
      </c>
      <c r="C600" s="150">
        <v>3</v>
      </c>
      <c r="D600" s="151" t="s">
        <v>252</v>
      </c>
      <c r="E600" s="151" t="s">
        <v>237</v>
      </c>
      <c r="F600" s="150" t="s">
        <v>240</v>
      </c>
    </row>
    <row r="601" spans="1:6">
      <c r="A601" s="150">
        <v>600</v>
      </c>
      <c r="B601" s="150" t="s">
        <v>191</v>
      </c>
      <c r="C601" s="150">
        <v>1</v>
      </c>
      <c r="D601" s="151" t="s">
        <v>252</v>
      </c>
      <c r="E601" s="151" t="s">
        <v>98</v>
      </c>
      <c r="F601" s="150" t="s">
        <v>139</v>
      </c>
    </row>
    <row r="602" spans="1:6">
      <c r="A602" s="150">
        <v>601</v>
      </c>
      <c r="B602" s="150" t="s">
        <v>111</v>
      </c>
      <c r="C602" s="150">
        <v>2</v>
      </c>
      <c r="D602" s="151" t="s">
        <v>252</v>
      </c>
      <c r="E602" s="151" t="s">
        <v>119</v>
      </c>
      <c r="F602" s="150" t="s">
        <v>114</v>
      </c>
    </row>
    <row r="603" spans="1:6">
      <c r="A603" s="150">
        <v>602</v>
      </c>
      <c r="B603" s="150" t="s">
        <v>110</v>
      </c>
      <c r="C603" s="150">
        <v>2</v>
      </c>
      <c r="D603" s="151" t="s">
        <v>252</v>
      </c>
      <c r="E603" s="151" t="s">
        <v>122</v>
      </c>
      <c r="F603" s="150" t="s">
        <v>112</v>
      </c>
    </row>
    <row r="604" spans="1:6">
      <c r="A604" s="150">
        <v>603</v>
      </c>
      <c r="B604" s="150" t="s">
        <v>111</v>
      </c>
      <c r="C604" s="150">
        <v>4</v>
      </c>
      <c r="D604" s="151" t="s">
        <v>252</v>
      </c>
      <c r="E604" s="151" t="s">
        <v>126</v>
      </c>
      <c r="F604" s="150" t="s">
        <v>160</v>
      </c>
    </row>
    <row r="605" spans="1:6">
      <c r="A605" s="150">
        <v>604</v>
      </c>
      <c r="B605" s="150" t="s">
        <v>109</v>
      </c>
      <c r="C605" s="150">
        <v>1</v>
      </c>
      <c r="D605" s="151" t="s">
        <v>252</v>
      </c>
      <c r="E605" s="151" t="s">
        <v>157</v>
      </c>
      <c r="F605" s="150" t="s">
        <v>199</v>
      </c>
    </row>
    <row r="606" spans="1:6">
      <c r="A606" s="150">
        <v>605</v>
      </c>
      <c r="B606" s="150" t="s">
        <v>111</v>
      </c>
      <c r="C606" s="150">
        <v>4</v>
      </c>
      <c r="D606" s="151" t="s">
        <v>252</v>
      </c>
      <c r="E606" s="151" t="s">
        <v>123</v>
      </c>
      <c r="F606" s="150" t="s">
        <v>193</v>
      </c>
    </row>
    <row r="607" spans="1:6">
      <c r="A607" s="150">
        <v>606</v>
      </c>
      <c r="B607" s="150" t="s">
        <v>110</v>
      </c>
      <c r="C607" s="150">
        <v>7</v>
      </c>
      <c r="D607" s="151" t="s">
        <v>252</v>
      </c>
      <c r="E607" s="151" t="s">
        <v>216</v>
      </c>
      <c r="F607" s="150" t="s">
        <v>207</v>
      </c>
    </row>
    <row r="608" spans="1:6">
      <c r="A608" s="150">
        <v>607</v>
      </c>
      <c r="B608" s="150" t="s">
        <v>110</v>
      </c>
      <c r="C608" s="150">
        <v>8</v>
      </c>
      <c r="D608" s="151" t="s">
        <v>252</v>
      </c>
      <c r="E608" s="151" t="s">
        <v>217</v>
      </c>
      <c r="F608" s="150" t="s">
        <v>194</v>
      </c>
    </row>
    <row r="609" spans="1:6">
      <c r="A609" s="150">
        <v>608</v>
      </c>
      <c r="B609" s="150" t="s">
        <v>111</v>
      </c>
      <c r="C609" s="150">
        <v>5</v>
      </c>
      <c r="D609" s="151" t="s">
        <v>252</v>
      </c>
      <c r="E609" s="151" t="s">
        <v>127</v>
      </c>
      <c r="F609" s="150" t="s">
        <v>175</v>
      </c>
    </row>
    <row r="610" spans="1:6">
      <c r="A610" s="150">
        <v>609</v>
      </c>
      <c r="B610" s="150" t="s">
        <v>110</v>
      </c>
      <c r="C610" s="150">
        <v>6</v>
      </c>
      <c r="D610" s="151" t="s">
        <v>252</v>
      </c>
      <c r="E610" s="151" t="s">
        <v>195</v>
      </c>
      <c r="F610" s="150" t="s">
        <v>128</v>
      </c>
    </row>
    <row r="611" spans="1:6">
      <c r="A611" s="150">
        <v>610</v>
      </c>
      <c r="B611" s="150" t="s">
        <v>111</v>
      </c>
      <c r="C611" s="150">
        <v>1</v>
      </c>
      <c r="D611" s="151" t="s">
        <v>252</v>
      </c>
      <c r="E611" s="151" t="s">
        <v>133</v>
      </c>
      <c r="F611" s="150" t="s">
        <v>137</v>
      </c>
    </row>
    <row r="612" spans="1:6">
      <c r="A612" s="150">
        <v>611</v>
      </c>
      <c r="B612" s="150" t="s">
        <v>111</v>
      </c>
      <c r="C612" s="150">
        <v>1</v>
      </c>
      <c r="D612" s="151" t="s">
        <v>252</v>
      </c>
      <c r="E612" s="151" t="s">
        <v>218</v>
      </c>
      <c r="F612" s="150" t="s">
        <v>132</v>
      </c>
    </row>
    <row r="613" spans="1:6">
      <c r="A613" s="150">
        <v>612</v>
      </c>
      <c r="B613" s="150" t="s">
        <v>110</v>
      </c>
      <c r="C613" s="150">
        <v>1</v>
      </c>
      <c r="D613" s="151" t="s">
        <v>252</v>
      </c>
      <c r="E613" s="151" t="s">
        <v>130</v>
      </c>
      <c r="F613" s="150" t="s">
        <v>131</v>
      </c>
    </row>
    <row r="614" spans="1:6">
      <c r="A614" s="150">
        <v>613</v>
      </c>
      <c r="B614" s="150" t="s">
        <v>191</v>
      </c>
      <c r="C614" s="150">
        <v>2</v>
      </c>
      <c r="D614" s="151" t="s">
        <v>252</v>
      </c>
      <c r="E614" s="151" t="s">
        <v>134</v>
      </c>
      <c r="F614" s="150" t="s">
        <v>168</v>
      </c>
    </row>
    <row r="615" spans="1:6">
      <c r="A615" s="150">
        <v>614</v>
      </c>
      <c r="B615" s="150" t="s">
        <v>111</v>
      </c>
      <c r="C615" s="150">
        <v>1</v>
      </c>
      <c r="D615" s="151" t="s">
        <v>252</v>
      </c>
      <c r="E615" s="151" t="s">
        <v>136</v>
      </c>
      <c r="F615" s="150" t="s">
        <v>115</v>
      </c>
    </row>
    <row r="616" spans="1:6">
      <c r="A616" s="150">
        <v>615</v>
      </c>
      <c r="B616" s="150" t="s">
        <v>110</v>
      </c>
      <c r="C616" s="150">
        <v>1</v>
      </c>
      <c r="D616" s="151" t="s">
        <v>252</v>
      </c>
      <c r="E616" s="151" t="s">
        <v>138</v>
      </c>
      <c r="F616" s="150" t="s">
        <v>196</v>
      </c>
    </row>
    <row r="617" spans="1:6">
      <c r="A617" s="150">
        <v>616</v>
      </c>
      <c r="B617" s="150" t="s">
        <v>110</v>
      </c>
      <c r="C617" s="150">
        <v>2</v>
      </c>
      <c r="D617" s="151" t="s">
        <v>252</v>
      </c>
      <c r="E617" s="151" t="s">
        <v>189</v>
      </c>
      <c r="F617" s="150" t="s">
        <v>186</v>
      </c>
    </row>
    <row r="618" spans="1:6">
      <c r="A618" s="150">
        <v>617</v>
      </c>
      <c r="B618" s="150" t="s">
        <v>109</v>
      </c>
      <c r="C618" s="150">
        <v>2</v>
      </c>
      <c r="D618" s="151" t="s">
        <v>252</v>
      </c>
      <c r="E618" s="151" t="s">
        <v>118</v>
      </c>
      <c r="F618" s="150" t="s">
        <v>182</v>
      </c>
    </row>
    <row r="619" spans="1:6">
      <c r="A619" s="150">
        <v>618</v>
      </c>
      <c r="B619" s="150" t="s">
        <v>110</v>
      </c>
      <c r="C619" s="150">
        <v>1</v>
      </c>
      <c r="D619" s="151" t="s">
        <v>252</v>
      </c>
      <c r="E619" s="151" t="s">
        <v>197</v>
      </c>
      <c r="F619" s="150" t="s">
        <v>219</v>
      </c>
    </row>
    <row r="620" spans="1:6">
      <c r="A620" s="150">
        <v>619</v>
      </c>
      <c r="B620" s="150" t="s">
        <v>191</v>
      </c>
      <c r="C620" s="150">
        <v>2</v>
      </c>
      <c r="D620" s="151" t="s">
        <v>252</v>
      </c>
      <c r="E620" s="151" t="s">
        <v>140</v>
      </c>
      <c r="F620" s="150" t="s">
        <v>92</v>
      </c>
    </row>
    <row r="621" spans="1:6">
      <c r="A621" s="150">
        <v>620</v>
      </c>
      <c r="B621" s="150" t="s">
        <v>111</v>
      </c>
      <c r="C621" s="150">
        <v>6</v>
      </c>
      <c r="D621" s="151" t="s">
        <v>252</v>
      </c>
      <c r="E621" s="151" t="s">
        <v>147</v>
      </c>
      <c r="F621" s="150" t="s">
        <v>155</v>
      </c>
    </row>
    <row r="622" spans="1:6">
      <c r="A622" s="150">
        <v>621</v>
      </c>
      <c r="B622" s="150" t="s">
        <v>109</v>
      </c>
      <c r="C622" s="150">
        <v>2</v>
      </c>
      <c r="D622" s="151" t="s">
        <v>252</v>
      </c>
      <c r="E622" s="151" t="s">
        <v>198</v>
      </c>
      <c r="F622" s="150" t="s">
        <v>129</v>
      </c>
    </row>
    <row r="623" spans="1:6">
      <c r="A623" s="150">
        <v>622</v>
      </c>
      <c r="B623" s="150" t="s">
        <v>110</v>
      </c>
      <c r="C623" s="150">
        <v>10</v>
      </c>
      <c r="D623" s="151" t="s">
        <v>252</v>
      </c>
      <c r="E623" s="151" t="s">
        <v>142</v>
      </c>
      <c r="F623" s="150" t="s">
        <v>226</v>
      </c>
    </row>
    <row r="624" spans="1:6">
      <c r="A624" s="150">
        <v>623</v>
      </c>
      <c r="B624" s="150" t="s">
        <v>110</v>
      </c>
      <c r="C624" s="150">
        <v>11</v>
      </c>
      <c r="D624" s="151" t="s">
        <v>252</v>
      </c>
      <c r="E624" s="151" t="s">
        <v>145</v>
      </c>
      <c r="F624" s="150" t="s">
        <v>165</v>
      </c>
    </row>
    <row r="625" spans="1:6">
      <c r="A625" s="150">
        <v>624</v>
      </c>
      <c r="B625" s="150" t="s">
        <v>111</v>
      </c>
      <c r="C625" s="150">
        <v>6</v>
      </c>
      <c r="D625" s="151" t="s">
        <v>252</v>
      </c>
      <c r="E625" s="151" t="s">
        <v>159</v>
      </c>
      <c r="F625" s="150" t="s">
        <v>96</v>
      </c>
    </row>
    <row r="626" spans="1:6">
      <c r="A626" s="150">
        <v>625</v>
      </c>
      <c r="B626" s="150" t="s">
        <v>110</v>
      </c>
      <c r="C626" s="150">
        <v>12</v>
      </c>
      <c r="D626" s="151" t="s">
        <v>252</v>
      </c>
      <c r="E626" s="151" t="s">
        <v>146</v>
      </c>
      <c r="F626" s="150" t="s">
        <v>143</v>
      </c>
    </row>
    <row r="627" spans="1:6">
      <c r="A627" s="150">
        <v>626</v>
      </c>
      <c r="B627" s="150" t="s">
        <v>110</v>
      </c>
      <c r="C627" s="150">
        <v>11</v>
      </c>
      <c r="D627" s="151" t="s">
        <v>252</v>
      </c>
      <c r="E627" s="151" t="s">
        <v>148</v>
      </c>
      <c r="F627" s="150" t="s">
        <v>223</v>
      </c>
    </row>
    <row r="628" spans="1:6">
      <c r="A628" s="150">
        <v>627</v>
      </c>
      <c r="B628" s="150" t="s">
        <v>191</v>
      </c>
      <c r="C628" s="150">
        <v>2</v>
      </c>
      <c r="D628" s="151" t="s">
        <v>252</v>
      </c>
      <c r="E628" s="151" t="s">
        <v>164</v>
      </c>
      <c r="F628" s="150" t="s">
        <v>203</v>
      </c>
    </row>
    <row r="629" spans="1:6">
      <c r="A629" s="150">
        <v>628</v>
      </c>
      <c r="B629" s="150" t="s">
        <v>110</v>
      </c>
      <c r="C629" s="150">
        <v>10</v>
      </c>
      <c r="D629" s="151" t="s">
        <v>252</v>
      </c>
      <c r="E629" s="151" t="s">
        <v>201</v>
      </c>
      <c r="F629" s="150" t="s">
        <v>222</v>
      </c>
    </row>
    <row r="630" spans="1:6">
      <c r="A630" s="150">
        <v>629</v>
      </c>
      <c r="B630" s="150" t="s">
        <v>109</v>
      </c>
      <c r="C630" s="150">
        <v>1</v>
      </c>
      <c r="D630" s="151" t="s">
        <v>252</v>
      </c>
      <c r="E630" s="151" t="s">
        <v>149</v>
      </c>
      <c r="F630" s="150" t="s">
        <v>163</v>
      </c>
    </row>
    <row r="631" spans="1:6">
      <c r="A631" s="150">
        <v>630</v>
      </c>
      <c r="B631" s="150" t="s">
        <v>110</v>
      </c>
      <c r="C631" s="150">
        <v>12</v>
      </c>
      <c r="D631" s="151" t="s">
        <v>252</v>
      </c>
      <c r="E631" s="151" t="s">
        <v>152</v>
      </c>
      <c r="F631" s="150" t="s">
        <v>225</v>
      </c>
    </row>
    <row r="632" spans="1:6">
      <c r="A632" s="150">
        <v>631</v>
      </c>
      <c r="B632" s="150" t="s">
        <v>111</v>
      </c>
      <c r="C632" s="150">
        <v>5</v>
      </c>
      <c r="D632" s="151" t="s">
        <v>252</v>
      </c>
      <c r="E632" s="151" t="s">
        <v>154</v>
      </c>
      <c r="F632" s="150" t="s">
        <v>156</v>
      </c>
    </row>
    <row r="633" spans="1:6">
      <c r="A633" s="150">
        <v>632</v>
      </c>
      <c r="B633" s="150" t="s">
        <v>110</v>
      </c>
      <c r="C633" s="150">
        <v>12</v>
      </c>
      <c r="D633" s="151" t="s">
        <v>252</v>
      </c>
      <c r="E633" s="151" t="s">
        <v>224</v>
      </c>
      <c r="F633" s="150" t="s">
        <v>221</v>
      </c>
    </row>
    <row r="634" spans="1:6">
      <c r="A634" s="150">
        <v>633</v>
      </c>
      <c r="B634" s="150" t="s">
        <v>109</v>
      </c>
      <c r="C634" s="150">
        <v>2</v>
      </c>
      <c r="D634" s="151" t="s">
        <v>252</v>
      </c>
      <c r="E634" s="151" t="s">
        <v>150</v>
      </c>
      <c r="F634" s="150" t="s">
        <v>220</v>
      </c>
    </row>
    <row r="635" spans="1:6">
      <c r="A635" s="150">
        <v>634</v>
      </c>
      <c r="B635" s="150" t="s">
        <v>110</v>
      </c>
      <c r="C635" s="150">
        <v>11</v>
      </c>
      <c r="D635" s="151" t="s">
        <v>252</v>
      </c>
      <c r="E635" s="151" t="s">
        <v>227</v>
      </c>
      <c r="F635" s="150" t="s">
        <v>200</v>
      </c>
    </row>
    <row r="636" spans="1:6">
      <c r="A636" s="150">
        <v>635</v>
      </c>
      <c r="B636" s="150" t="s">
        <v>110</v>
      </c>
      <c r="C636" s="150">
        <v>9</v>
      </c>
      <c r="D636" s="151" t="s">
        <v>252</v>
      </c>
      <c r="E636" s="151" t="s">
        <v>158</v>
      </c>
      <c r="F636" s="150" t="s">
        <v>241</v>
      </c>
    </row>
    <row r="637" spans="1:6">
      <c r="A637" s="150">
        <v>636</v>
      </c>
      <c r="B637" s="150" t="s">
        <v>110</v>
      </c>
      <c r="C637" s="150">
        <v>6</v>
      </c>
      <c r="D637" s="151" t="s">
        <v>252</v>
      </c>
      <c r="E637" s="151" t="s">
        <v>206</v>
      </c>
      <c r="F637" s="150" t="s">
        <v>230</v>
      </c>
    </row>
    <row r="638" spans="1:6">
      <c r="A638" s="150">
        <v>637</v>
      </c>
      <c r="B638" s="150" t="s">
        <v>110</v>
      </c>
      <c r="C638" s="150">
        <v>5</v>
      </c>
      <c r="D638" s="151" t="s">
        <v>252</v>
      </c>
      <c r="E638" s="151" t="s">
        <v>171</v>
      </c>
      <c r="F638" s="150" t="s">
        <v>173</v>
      </c>
    </row>
    <row r="639" spans="1:6">
      <c r="A639" s="150">
        <v>638</v>
      </c>
      <c r="B639" s="150" t="s">
        <v>110</v>
      </c>
      <c r="C639" s="150">
        <v>5</v>
      </c>
      <c r="D639" s="151" t="s">
        <v>252</v>
      </c>
      <c r="E639" s="151" t="s">
        <v>209</v>
      </c>
      <c r="F639" s="150" t="s">
        <v>231</v>
      </c>
    </row>
    <row r="640" spans="1:6">
      <c r="A640" s="150">
        <v>639</v>
      </c>
      <c r="B640" s="150" t="s">
        <v>191</v>
      </c>
      <c r="C640" s="150">
        <v>1</v>
      </c>
      <c r="D640" s="151" t="s">
        <v>252</v>
      </c>
      <c r="E640" s="151" t="s">
        <v>135</v>
      </c>
      <c r="F640" s="150" t="s">
        <v>151</v>
      </c>
    </row>
    <row r="641" spans="1:6">
      <c r="A641" s="150">
        <v>640</v>
      </c>
      <c r="B641" s="150" t="s">
        <v>111</v>
      </c>
      <c r="C641" s="150">
        <v>3</v>
      </c>
      <c r="D641" s="151" t="s">
        <v>252</v>
      </c>
      <c r="E641" s="151" t="s">
        <v>169</v>
      </c>
      <c r="F641" s="150" t="s">
        <v>181</v>
      </c>
    </row>
    <row r="642" spans="1:6">
      <c r="A642" s="150">
        <v>641</v>
      </c>
      <c r="B642" s="150" t="s">
        <v>110</v>
      </c>
      <c r="C642" s="150">
        <v>9</v>
      </c>
      <c r="D642" s="151" t="s">
        <v>252</v>
      </c>
      <c r="E642" s="151" t="s">
        <v>167</v>
      </c>
      <c r="F642" s="150" t="s">
        <v>166</v>
      </c>
    </row>
    <row r="643" spans="1:6">
      <c r="A643" s="150">
        <v>642</v>
      </c>
      <c r="B643" s="150" t="s">
        <v>110</v>
      </c>
      <c r="C643" s="150">
        <v>10</v>
      </c>
      <c r="D643" s="151" t="s">
        <v>252</v>
      </c>
      <c r="E643" s="151" t="s">
        <v>234</v>
      </c>
      <c r="F643" s="150" t="s">
        <v>202</v>
      </c>
    </row>
    <row r="644" spans="1:6">
      <c r="A644" s="150">
        <v>643</v>
      </c>
      <c r="B644" s="150" t="s">
        <v>111</v>
      </c>
      <c r="C644" s="150">
        <v>6</v>
      </c>
      <c r="D644" s="151" t="s">
        <v>252</v>
      </c>
      <c r="E644" s="151" t="s">
        <v>144</v>
      </c>
      <c r="F644" s="150" t="s">
        <v>153</v>
      </c>
    </row>
    <row r="645" spans="1:6">
      <c r="A645" s="150">
        <v>644</v>
      </c>
      <c r="B645" s="150" t="s">
        <v>111</v>
      </c>
      <c r="C645" s="150">
        <v>4</v>
      </c>
      <c r="D645" s="151" t="s">
        <v>252</v>
      </c>
      <c r="E645" s="151" t="s">
        <v>124</v>
      </c>
      <c r="F645" s="150" t="s">
        <v>162</v>
      </c>
    </row>
    <row r="646" spans="1:6">
      <c r="A646" s="150">
        <v>645</v>
      </c>
      <c r="B646" s="150" t="s">
        <v>111</v>
      </c>
      <c r="C646" s="150">
        <v>5</v>
      </c>
      <c r="D646" s="151" t="s">
        <v>252</v>
      </c>
      <c r="E646" s="151" t="s">
        <v>161</v>
      </c>
      <c r="F646" s="150" t="s">
        <v>141</v>
      </c>
    </row>
    <row r="647" spans="1:6">
      <c r="A647" s="150">
        <v>646</v>
      </c>
      <c r="B647" s="150" t="s">
        <v>110</v>
      </c>
      <c r="C647" s="150">
        <v>5</v>
      </c>
      <c r="D647" s="151" t="s">
        <v>252</v>
      </c>
      <c r="E647" s="151" t="s">
        <v>235</v>
      </c>
      <c r="F647" s="150" t="s">
        <v>232</v>
      </c>
    </row>
    <row r="648" spans="1:6">
      <c r="A648" s="150">
        <v>647</v>
      </c>
      <c r="B648" s="150" t="s">
        <v>110</v>
      </c>
      <c r="C648" s="150">
        <v>4</v>
      </c>
      <c r="D648" s="151" t="s">
        <v>252</v>
      </c>
      <c r="E648" s="151" t="s">
        <v>170</v>
      </c>
      <c r="F648" s="150" t="s">
        <v>210</v>
      </c>
    </row>
    <row r="649" spans="1:6">
      <c r="A649" s="150">
        <v>648</v>
      </c>
      <c r="B649" s="150" t="s">
        <v>110</v>
      </c>
      <c r="C649" s="150">
        <v>4</v>
      </c>
      <c r="D649" s="151" t="s">
        <v>252</v>
      </c>
      <c r="E649" s="151" t="s">
        <v>172</v>
      </c>
      <c r="F649" s="150" t="s">
        <v>236</v>
      </c>
    </row>
    <row r="650" spans="1:6">
      <c r="A650" s="150">
        <v>649</v>
      </c>
      <c r="B650" s="150" t="s">
        <v>111</v>
      </c>
      <c r="C650" s="150">
        <v>3</v>
      </c>
      <c r="D650" s="151" t="s">
        <v>252</v>
      </c>
      <c r="E650" s="151" t="s">
        <v>174</v>
      </c>
      <c r="F650" s="150" t="s">
        <v>205</v>
      </c>
    </row>
    <row r="651" spans="1:6">
      <c r="A651" s="150">
        <v>650</v>
      </c>
      <c r="B651" s="150" t="s">
        <v>191</v>
      </c>
      <c r="C651" s="150">
        <v>1</v>
      </c>
      <c r="D651" s="151" t="s">
        <v>252</v>
      </c>
      <c r="E651" s="151" t="s">
        <v>176</v>
      </c>
      <c r="F651" s="150" t="s">
        <v>177</v>
      </c>
    </row>
    <row r="652" spans="1:6">
      <c r="A652" s="150">
        <v>651</v>
      </c>
      <c r="B652" s="150" t="s">
        <v>111</v>
      </c>
      <c r="C652" s="150">
        <v>2</v>
      </c>
      <c r="D652" s="151" t="s">
        <v>252</v>
      </c>
      <c r="E652" s="151" t="s">
        <v>178</v>
      </c>
      <c r="F652" s="150" t="s">
        <v>179</v>
      </c>
    </row>
    <row r="653" spans="1:6">
      <c r="A653" s="150">
        <v>652</v>
      </c>
      <c r="B653" s="150" t="s">
        <v>110</v>
      </c>
      <c r="C653" s="150">
        <v>3</v>
      </c>
      <c r="D653" s="151" t="s">
        <v>252</v>
      </c>
      <c r="E653" s="151" t="s">
        <v>117</v>
      </c>
      <c r="F653" s="150" t="s">
        <v>121</v>
      </c>
    </row>
    <row r="654" spans="1:6">
      <c r="A654" s="150">
        <v>653</v>
      </c>
      <c r="B654" s="150" t="s">
        <v>110</v>
      </c>
      <c r="C654" s="150">
        <v>4</v>
      </c>
      <c r="D654" s="151" t="s">
        <v>252</v>
      </c>
      <c r="E654" s="151" t="s">
        <v>238</v>
      </c>
      <c r="F654" s="150" t="s">
        <v>180</v>
      </c>
    </row>
    <row r="655" spans="1:6">
      <c r="A655" s="150">
        <v>654</v>
      </c>
      <c r="B655" s="150" t="s">
        <v>110</v>
      </c>
      <c r="C655" s="150">
        <v>3</v>
      </c>
      <c r="D655" s="151" t="s">
        <v>252</v>
      </c>
      <c r="E655" s="151" t="s">
        <v>239</v>
      </c>
      <c r="F655" s="150" t="s">
        <v>192</v>
      </c>
    </row>
    <row r="656" spans="1:6">
      <c r="A656" s="150">
        <v>655</v>
      </c>
      <c r="B656" s="150" t="s">
        <v>110</v>
      </c>
      <c r="C656" s="150">
        <v>8</v>
      </c>
      <c r="D656" s="151" t="s">
        <v>252</v>
      </c>
      <c r="E656" s="151" t="s">
        <v>211</v>
      </c>
      <c r="F656" s="150" t="s">
        <v>208</v>
      </c>
    </row>
    <row r="657" spans="1:6">
      <c r="A657" s="150">
        <v>656</v>
      </c>
      <c r="B657" s="150" t="s">
        <v>109</v>
      </c>
      <c r="C657" s="150">
        <v>1</v>
      </c>
      <c r="D657" s="151" t="s">
        <v>252</v>
      </c>
      <c r="E657" s="151" t="s">
        <v>97</v>
      </c>
      <c r="F657" s="150" t="s">
        <v>113</v>
      </c>
    </row>
    <row r="658" spans="1:6">
      <c r="A658" s="150">
        <v>657</v>
      </c>
      <c r="B658" s="150" t="s">
        <v>110</v>
      </c>
      <c r="C658" s="150">
        <v>7</v>
      </c>
      <c r="D658" s="151" t="s">
        <v>252</v>
      </c>
      <c r="E658" s="151" t="s">
        <v>213</v>
      </c>
      <c r="F658" s="150" t="s">
        <v>125</v>
      </c>
    </row>
    <row r="659" spans="1:6">
      <c r="A659" s="150">
        <v>658</v>
      </c>
      <c r="B659" s="150" t="s">
        <v>110</v>
      </c>
      <c r="C659" s="150">
        <v>7</v>
      </c>
      <c r="D659" s="151" t="s">
        <v>252</v>
      </c>
      <c r="E659" s="151" t="s">
        <v>212</v>
      </c>
      <c r="F659" s="150" t="s">
        <v>184</v>
      </c>
    </row>
    <row r="660" spans="1:6">
      <c r="A660" s="150">
        <v>659</v>
      </c>
      <c r="B660" s="150" t="s">
        <v>110</v>
      </c>
      <c r="C660" s="150">
        <v>8</v>
      </c>
      <c r="D660" s="151" t="s">
        <v>252</v>
      </c>
      <c r="E660" s="151" t="s">
        <v>242</v>
      </c>
      <c r="F660" s="150" t="s">
        <v>183</v>
      </c>
    </row>
    <row r="661" spans="1:6">
      <c r="A661" s="150">
        <v>660</v>
      </c>
      <c r="B661" s="150" t="s">
        <v>110</v>
      </c>
      <c r="C661" s="150">
        <v>9</v>
      </c>
      <c r="D661" s="151" t="s">
        <v>252</v>
      </c>
      <c r="E661" s="151" t="s">
        <v>228</v>
      </c>
      <c r="F661" s="150" t="s">
        <v>233</v>
      </c>
    </row>
  </sheetData>
  <autoFilter ref="B1:K661"/>
  <sortState ref="N1:N6">
    <sortCondition ref="N1:N6"/>
  </sortState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</vt:i4>
      </vt:variant>
    </vt:vector>
  </HeadingPairs>
  <TitlesOfParts>
    <vt:vector size="14" baseType="lpstr">
      <vt:lpstr>PresBACH</vt:lpstr>
      <vt:lpstr>Presentation</vt:lpstr>
      <vt:lpstr>ICNClass</vt:lpstr>
      <vt:lpstr>Scores</vt:lpstr>
      <vt:lpstr>Terrain 1</vt:lpstr>
      <vt:lpstr>ScoresDetail</vt:lpstr>
      <vt:lpstr>Terrain 2</vt:lpstr>
      <vt:lpstr>Visuel</vt:lpstr>
      <vt:lpstr>A renseigner</vt:lpstr>
      <vt:lpstr>Réservé</vt:lpstr>
      <vt:lpstr>JA</vt:lpstr>
      <vt:lpstr>JA2</vt:lpstr>
      <vt:lpstr>Résultats</vt:lpstr>
      <vt:lpstr>JA!Joueurs</vt:lpstr>
    </vt:vector>
  </TitlesOfParts>
  <Company>VOLTALIS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Martin</dc:creator>
  <cp:lastModifiedBy>HOT EMMANUEL</cp:lastModifiedBy>
  <cp:lastPrinted>2018-03-17T15:23:47Z</cp:lastPrinted>
  <dcterms:created xsi:type="dcterms:W3CDTF">2013-02-06T15:35:33Z</dcterms:created>
  <dcterms:modified xsi:type="dcterms:W3CDTF">2018-12-01T14:28:08Z</dcterms:modified>
</cp:coreProperties>
</file>